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nnual Mod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0&quot; bps&quot;"/>
    <numFmt numFmtId="166" formatCode="0.00x"/>
  </numFmts>
  <fonts count="10">
    <font>
      <name val="Calibri"/>
      <family val="2"/>
      <color theme="1"/>
      <sz val="11"/>
      <scheme val="minor"/>
    </font>
    <font>
      <name val="Georgia"/>
      <b val="1"/>
      <color rgb="00FFFFFF"/>
      <sz val="14"/>
    </font>
    <font>
      <name val="Georgia"/>
      <b val="1"/>
      <color rgb="00FFFFFF"/>
      <sz val="11"/>
    </font>
    <font>
      <name val="Georgia"/>
      <color rgb="0000313C"/>
      <sz val="10"/>
    </font>
    <font>
      <name val="Georgia"/>
      <color rgb="001A237E"/>
      <sz val="10"/>
    </font>
    <font>
      <name val="Georgia"/>
      <b val="1"/>
      <color rgb="0000313C"/>
      <sz val="10"/>
    </font>
    <font>
      <name val="Georgia"/>
      <i val="1"/>
      <color rgb="00747476"/>
      <sz val="9"/>
    </font>
    <font>
      <name val="Georgia"/>
      <color rgb="001A237E"/>
      <sz val="9"/>
    </font>
    <font>
      <name val="Georgia"/>
      <color rgb="00747476"/>
      <sz val="9"/>
    </font>
    <font>
      <name val="Georgia"/>
      <b val="1"/>
      <color rgb="00FFFFFF"/>
      <sz val="10"/>
    </font>
  </fonts>
  <fills count="9">
    <fill>
      <patternFill/>
    </fill>
    <fill>
      <patternFill patternType="gray125"/>
    </fill>
    <fill>
      <patternFill patternType="solid">
        <fgColor rgb="0000313C"/>
        <bgColor rgb="0000313C"/>
      </patternFill>
    </fill>
    <fill>
      <patternFill patternType="solid">
        <fgColor rgb="00FFF3E0"/>
        <bgColor rgb="00FFF3E0"/>
      </patternFill>
    </fill>
    <fill>
      <patternFill patternType="solid">
        <fgColor rgb="00BABCBC"/>
        <bgColor rgb="00BABCBC"/>
      </patternFill>
    </fill>
    <fill>
      <patternFill patternType="solid">
        <fgColor rgb="00F0F1F1"/>
        <bgColor rgb="00F0F1F1"/>
      </patternFill>
    </fill>
    <fill>
      <patternFill patternType="solid">
        <fgColor rgb="00E8E8E8"/>
        <bgColor rgb="00E8E8E8"/>
      </patternFill>
    </fill>
    <fill>
      <patternFill patternType="solid">
        <fgColor rgb="0000AD97"/>
        <bgColor rgb="0000AD97"/>
      </patternFill>
    </fill>
    <fill>
      <patternFill patternType="solid">
        <fgColor rgb="00FF8D19"/>
        <bgColor rgb="00FF8D19"/>
      </patternFill>
    </fill>
  </fills>
  <borders count="6">
    <border>
      <left/>
      <right/>
      <top/>
      <bottom/>
      <diagonal/>
    </border>
    <border>
      <left style="thin">
        <color rgb="00747476"/>
      </left>
      <right style="thin">
        <color rgb="00747476"/>
      </right>
      <top style="thin">
        <color rgb="00747476"/>
      </top>
      <bottom style="thin">
        <color rgb="00747476"/>
      </bottom>
    </border>
    <border>
      <left/>
      <right/>
      <top style="thin">
        <color rgb="00747476"/>
      </top>
      <bottom/>
      <diagonal/>
    </border>
    <border>
      <left/>
      <right style="thin">
        <color rgb="00747476"/>
      </right>
      <top style="thin">
        <color rgb="00747476"/>
      </top>
      <bottom/>
      <diagonal/>
    </border>
    <border>
      <left/>
      <right style="thin">
        <color rgb="00747476"/>
      </right>
      <top style="thin">
        <color rgb="00747476"/>
      </top>
      <bottom style="thin">
        <color rgb="00747476"/>
      </bottom>
      <diagonal/>
    </border>
    <border>
      <left style="thin">
        <color rgb="00747476"/>
      </left>
      <right style="thin">
        <color rgb="00747476"/>
      </right>
      <top style="thin">
        <color rgb="00747476"/>
      </top>
      <bottom style="medium">
        <color rgb="0000313C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0" borderId="4" pivotButton="0" quotePrefix="0" xfId="0"/>
    <xf numFmtId="164" fontId="4" fillId="3" borderId="1" applyAlignment="1" pivotButton="0" quotePrefix="0" xfId="0">
      <alignment horizontal="right" vertical="center"/>
    </xf>
    <xf numFmtId="165" fontId="4" fillId="3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/>
    </xf>
    <xf numFmtId="0" fontId="5" fillId="4" borderId="1" pivotButton="0" quotePrefix="0" xfId="0"/>
    <xf numFmtId="0" fontId="3" fillId="0" borderId="1" applyAlignment="1" pivotButton="0" quotePrefix="0" xfId="0">
      <alignment horizontal="left" vertical="center" indent="1"/>
    </xf>
    <xf numFmtId="10" fontId="5" fillId="5" borderId="1" applyAlignment="1" pivotButton="0" quotePrefix="0" xfId="0">
      <alignment horizontal="right" vertical="center"/>
    </xf>
    <xf numFmtId="166" fontId="5" fillId="5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0" fontId="6" fillId="0" borderId="0" pivotButton="0" quotePrefix="0" xfId="0"/>
    <xf numFmtId="0" fontId="7" fillId="3" borderId="1" pivotButton="0" quotePrefix="0" xfId="0"/>
    <xf numFmtId="0" fontId="0" fillId="4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0" borderId="1" pivotButton="0" quotePrefix="0" xfId="0"/>
    <xf numFmtId="10" fontId="4" fillId="3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10" fontId="5" fillId="6" borderId="5" applyAlignment="1" pivotButton="0" quotePrefix="0" xfId="0">
      <alignment horizontal="right" vertical="center"/>
    </xf>
    <xf numFmtId="0" fontId="8" fillId="0" borderId="1" pivotButton="0" quotePrefix="0" xfId="0"/>
    <xf numFmtId="164" fontId="3" fillId="5" borderId="1" applyAlignment="1" pivotButton="0" quotePrefix="0" xfId="0">
      <alignment horizontal="right" vertical="center"/>
    </xf>
    <xf numFmtId="164" fontId="5" fillId="6" borderId="5" applyAlignment="1" pivotButton="0" quotePrefix="0" xfId="0">
      <alignment horizontal="right" vertical="center"/>
    </xf>
    <xf numFmtId="0" fontId="9" fillId="7" borderId="1" applyAlignment="1" pivotButton="0" quotePrefix="0" xfId="0">
      <alignment horizontal="left" vertical="center"/>
    </xf>
    <xf numFmtId="0" fontId="0" fillId="7" borderId="1" pivotButton="0" quotePrefix="0" xfId="0"/>
    <xf numFmtId="164" fontId="9" fillId="7" borderId="1" applyAlignment="1" pivotButton="0" quotePrefix="0" xfId="0">
      <alignment horizontal="right" vertical="center"/>
    </xf>
    <xf numFmtId="0" fontId="9" fillId="2" borderId="1" applyAlignment="1" pivotButton="0" quotePrefix="0" xfId="0">
      <alignment horizontal="left" vertical="center"/>
    </xf>
    <xf numFmtId="0" fontId="0" fillId="2" borderId="1" pivotButton="0" quotePrefix="0" xfId="0"/>
    <xf numFmtId="164" fontId="9" fillId="2" borderId="1" applyAlignment="1" pivotButton="0" quotePrefix="0" xfId="0">
      <alignment horizontal="right" vertical="center"/>
    </xf>
    <xf numFmtId="10" fontId="9" fillId="2" borderId="1" applyAlignment="1" pivotButton="0" quotePrefix="0" xfId="0">
      <alignment horizontal="right" vertical="center"/>
    </xf>
    <xf numFmtId="0" fontId="9" fillId="8" borderId="1" applyAlignment="1" pivotButton="0" quotePrefix="0" xfId="0">
      <alignment horizontal="left" vertical="center"/>
    </xf>
    <xf numFmtId="0" fontId="0" fillId="8" borderId="1" pivotButton="0" quotePrefix="0" xfId="0"/>
    <xf numFmtId="164" fontId="9" fillId="8" borderId="1" applyAlignment="1" pivotButton="0" quotePrefix="0" xfId="0">
      <alignment horizontal="right" vertical="center"/>
    </xf>
  </cellXfs>
  <cellStyles count="1">
    <cellStyle name="Normal" xfId="0" builtinId="0" hidden="0"/>
  </cellStyles>
  <dxfs count="1">
    <dxf>
      <font>
        <name val="Georgia"/>
        <b val="1"/>
        <color rgb="00B71C1C"/>
      </font>
      <fill>
        <patternFill patternType="solid">
          <fgColor rgb="00FFCDD2"/>
          <bgColor rgb="00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13C"/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20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Nuveen Housing LP Financial Model</t>
        </is>
      </c>
      <c r="B1" s="2" t="n"/>
      <c r="C1" s="2" t="n"/>
      <c r="D1" s="2" t="n"/>
      <c r="E1" s="2" t="n"/>
      <c r="F1" s="2" t="n"/>
      <c r="G1" s="2" t="n"/>
      <c r="H1" s="2" t="n"/>
    </row>
    <row r="3">
      <c r="A3" s="3" t="inlineStr">
        <is>
          <t>Fund Parameters</t>
        </is>
      </c>
      <c r="B3" s="3" t="n"/>
      <c r="C3" s="3" t="n"/>
      <c r="D3" s="3" t="n"/>
      <c r="E3" s="3" t="n"/>
      <c r="F3" s="3" t="n"/>
      <c r="G3" s="3" t="n"/>
      <c r="H3" s="3" t="n"/>
    </row>
    <row r="5">
      <c r="A5" s="4" t="inlineStr">
        <is>
          <t>Initial AUM</t>
        </is>
      </c>
      <c r="B5" s="5" t="n"/>
      <c r="C5" s="6" t="n">
        <v>500000000</v>
      </c>
    </row>
    <row r="6">
      <c r="A6" s="4" t="inlineStr">
        <is>
          <t>Management Fee</t>
        </is>
      </c>
      <c r="B6" s="5" t="n"/>
      <c r="C6" s="7" t="n">
        <v>50</v>
      </c>
    </row>
    <row r="7">
      <c r="A7" s="4" t="inlineStr">
        <is>
          <t>Performance Fee (% of excess return)</t>
        </is>
      </c>
      <c r="B7" s="5" t="n"/>
      <c r="C7" s="7" t="n">
        <v>2000</v>
      </c>
    </row>
    <row r="8">
      <c r="A8" s="4" t="inlineStr">
        <is>
          <t>Hurdle Rate</t>
        </is>
      </c>
      <c r="B8" s="5" t="n"/>
      <c r="C8" s="7" t="n">
        <v>400</v>
      </c>
    </row>
    <row r="9">
      <c r="A9" s="4" t="inlineStr">
        <is>
          <t>Other Expenses</t>
        </is>
      </c>
      <c r="B9" s="5" t="n"/>
      <c r="C9" s="7" t="n">
        <v>15</v>
      </c>
    </row>
    <row r="13">
      <c r="A13" s="3" t="inlineStr">
        <is>
          <t>Summary Statistics</t>
        </is>
      </c>
      <c r="B13" s="3" t="n"/>
      <c r="C13" s="3" t="n"/>
      <c r="D13" s="3" t="n"/>
      <c r="E13" s="3" t="n"/>
      <c r="F13" s="3" t="n"/>
      <c r="G13" s="3" t="n"/>
      <c r="H13" s="3" t="n"/>
    </row>
    <row r="14">
      <c r="A14" s="8" t="inlineStr">
        <is>
          <t>Return Metrics</t>
        </is>
      </c>
      <c r="B14" s="9" t="n"/>
      <c r="C14" s="9" t="n"/>
      <c r="D14" s="9" t="n"/>
      <c r="E14" s="9" t="n"/>
      <c r="F14" s="9" t="n"/>
      <c r="G14" s="9" t="n"/>
      <c r="H14" s="9" t="n"/>
    </row>
    <row r="15">
      <c r="A15" s="10" t="inlineStr">
        <is>
          <t>Net IRR (Avg Annual Net Yield)</t>
        </is>
      </c>
      <c r="C15" s="11">
        <f>AVERAGE('Annual Model'!C47,'Annual Model'!D47,'Annual Model'!E47,'Annual Model'!F47,'Annual Model'!G47,'Annual Model'!H47,'Annual Model'!I47,'Annual Model'!J47,'Annual Model'!K47,'Annual Model'!L47,'Annual Model'!M47,'Annual Model'!N47,'Annual Model'!O47,'Annual Model'!P47,'Annual Model'!Q47,'Annual Model'!R47,'Annual Model'!S47,'Annual Model'!T47,'Annual Model'!U47,'Annual Model'!V47)</f>
        <v/>
      </c>
    </row>
    <row r="16">
      <c r="A16" s="10" t="inlineStr">
        <is>
          <t>Gross IRR (Avg Annual Gross Yield)</t>
        </is>
      </c>
      <c r="C16" s="11">
        <f>AVERAGE('Annual Model'!C20,'Annual Model'!D20,'Annual Model'!E20,'Annual Model'!F20,'Annual Model'!G20,'Annual Model'!H20,'Annual Model'!I20,'Annual Model'!J20,'Annual Model'!K20,'Annual Model'!L20,'Annual Model'!M20,'Annual Model'!N20,'Annual Model'!O20,'Annual Model'!P20,'Annual Model'!Q20,'Annual Model'!R20,'Annual Model'!S20,'Annual Model'!T20,'Annual Model'!U20,'Annual Model'!V20)</f>
        <v/>
      </c>
    </row>
    <row r="17">
      <c r="A17" s="10" t="inlineStr">
        <is>
          <t>MOIC (Multiple on Invested Capital)</t>
        </is>
      </c>
      <c r="C17" s="12">
        <f>'Annual Model'!V48/Summary!$C$5</f>
        <v/>
      </c>
    </row>
    <row r="18">
      <c r="A18" s="10" t="inlineStr">
        <is>
          <t>DPI (Distributions to Paid-In)</t>
        </is>
      </c>
      <c r="C18" s="12">
        <f>('Annual Model'!C46+'Annual Model'!D46+'Annual Model'!E46+'Annual Model'!F46+'Annual Model'!G46+'Annual Model'!H46+'Annual Model'!I46+'Annual Model'!J46+'Annual Model'!K46+'Annual Model'!L46+'Annual Model'!M46+'Annual Model'!N46+'Annual Model'!O46+'Annual Model'!P46+'Annual Model'!Q46+'Annual Model'!R46+'Annual Model'!S46+'Annual Model'!T46+'Annual Model'!U46+'Annual Model'!V46)/Summary!$C$5</f>
        <v/>
      </c>
    </row>
    <row r="19">
      <c r="A19" s="10" t="inlineStr">
        <is>
          <t>Total Value to Paid-In (TVPI)</t>
        </is>
      </c>
      <c r="C19" s="12">
        <f>('Annual Model'!V48+'Annual Model'!C46+'Annual Model'!D46+'Annual Model'!E46+'Annual Model'!F46+'Annual Model'!G46+'Annual Model'!H46+'Annual Model'!I46+'Annual Model'!J46+'Annual Model'!K46+'Annual Model'!L46+'Annual Model'!M46+'Annual Model'!N46+'Annual Model'!O46+'Annual Model'!P46+'Annual Model'!Q46+'Annual Model'!R46+'Annual Model'!S46+'Annual Model'!T46+'Annual Model'!U46+'Annual Model'!V46)/Summary!$C$5</f>
        <v/>
      </c>
    </row>
    <row r="21">
      <c r="A21" s="8" t="inlineStr">
        <is>
          <t>Capital Metrics</t>
        </is>
      </c>
      <c r="B21" s="9" t="n"/>
      <c r="C21" s="9" t="n"/>
      <c r="D21" s="9" t="n"/>
      <c r="E21" s="9" t="n"/>
      <c r="F21" s="9" t="n"/>
      <c r="G21" s="9" t="n"/>
      <c r="H21" s="9" t="n"/>
    </row>
    <row r="22">
      <c r="A22" s="10" t="inlineStr">
        <is>
          <t>Initial Committed Capital</t>
        </is>
      </c>
      <c r="C22" s="13">
        <f>Summary!$C$5</f>
        <v/>
      </c>
    </row>
    <row r="23">
      <c r="A23" s="10" t="inlineStr">
        <is>
          <t>Ending AUM (Year 20)</t>
        </is>
      </c>
      <c r="C23" s="13">
        <f>'Annual Model'!V48</f>
        <v/>
      </c>
    </row>
    <row r="24">
      <c r="A24" s="10" t="inlineStr">
        <is>
          <t>Total AUM Growth</t>
        </is>
      </c>
      <c r="C24" s="11">
        <f>'Annual Model'!V48/Summary!$C$5-1</f>
        <v/>
      </c>
    </row>
    <row r="25">
      <c r="A25" s="10" t="inlineStr">
        <is>
          <t>Total Cumulative Net Income</t>
        </is>
      </c>
      <c r="C25" s="13">
        <f>'Annual Model'!C46+'Annual Model'!D46+'Annual Model'!E46+'Annual Model'!F46+'Annual Model'!G46+'Annual Model'!H46+'Annual Model'!I46+'Annual Model'!J46+'Annual Model'!K46+'Annual Model'!L46+'Annual Model'!M46+'Annual Model'!N46+'Annual Model'!O46+'Annual Model'!P46+'Annual Model'!Q46+'Annual Model'!R46+'Annual Model'!S46+'Annual Model'!T46+'Annual Model'!U46+'Annual Model'!V46</f>
        <v/>
      </c>
    </row>
    <row r="26">
      <c r="A26" s="10" t="inlineStr">
        <is>
          <t>Total Cumulative Gross Income</t>
        </is>
      </c>
      <c r="C26" s="13">
        <f>'Annual Model'!C36+'Annual Model'!D36+'Annual Model'!E36+'Annual Model'!F36+'Annual Model'!G36+'Annual Model'!H36+'Annual Model'!I36+'Annual Model'!J36+'Annual Model'!K36+'Annual Model'!L36+'Annual Model'!M36+'Annual Model'!N36+'Annual Model'!O36+'Annual Model'!P36+'Annual Model'!Q36+'Annual Model'!R36+'Annual Model'!S36+'Annual Model'!T36+'Annual Model'!U36+'Annual Model'!V36</f>
        <v/>
      </c>
    </row>
    <row r="27">
      <c r="A27" s="10" t="inlineStr">
        <is>
          <t>Peak AUM</t>
        </is>
      </c>
      <c r="C27" s="13">
        <f>MAX('Annual Model'!C48,'Annual Model'!D48,'Annual Model'!E48,'Annual Model'!F48,'Annual Model'!G48,'Annual Model'!H48,'Annual Model'!I48,'Annual Model'!J48,'Annual Model'!K48,'Annual Model'!L48,'Annual Model'!M48,'Annual Model'!N48,'Annual Model'!O48,'Annual Model'!P48,'Annual Model'!Q48,'Annual Model'!R48,'Annual Model'!S48,'Annual Model'!T48,'Annual Model'!U48,'Annual Model'!V48)</f>
        <v/>
      </c>
    </row>
    <row r="29">
      <c r="A29" s="8" t="inlineStr">
        <is>
          <t>Fee &amp; Expense Metrics</t>
        </is>
      </c>
      <c r="B29" s="9" t="n"/>
      <c r="C29" s="9" t="n"/>
      <c r="D29" s="9" t="n"/>
      <c r="E29" s="9" t="n"/>
      <c r="F29" s="9" t="n"/>
      <c r="G29" s="9" t="n"/>
      <c r="H29" s="9" t="n"/>
    </row>
    <row r="30">
      <c r="A30" s="10" t="inlineStr">
        <is>
          <t>Total Management Fees</t>
        </is>
      </c>
      <c r="C30" s="13">
        <f>'Annual Model'!C39+'Annual Model'!D39+'Annual Model'!E39+'Annual Model'!F39+'Annual Model'!G39+'Annual Model'!H39+'Annual Model'!I39+'Annual Model'!J39+'Annual Model'!K39+'Annual Model'!L39+'Annual Model'!M39+'Annual Model'!N39+'Annual Model'!O39+'Annual Model'!P39+'Annual Model'!Q39+'Annual Model'!R39+'Annual Model'!S39+'Annual Model'!T39+'Annual Model'!U39+'Annual Model'!V39</f>
        <v/>
      </c>
    </row>
    <row r="31">
      <c r="A31" s="10" t="inlineStr">
        <is>
          <t>Total Performance Fees</t>
        </is>
      </c>
      <c r="C31" s="13">
        <f>'Annual Model'!C41+'Annual Model'!D41+'Annual Model'!E41+'Annual Model'!F41+'Annual Model'!G41+'Annual Model'!H41+'Annual Model'!I41+'Annual Model'!J41+'Annual Model'!K41+'Annual Model'!L41+'Annual Model'!M41+'Annual Model'!N41+'Annual Model'!O41+'Annual Model'!P41+'Annual Model'!Q41+'Annual Model'!R41+'Annual Model'!S41+'Annual Model'!T41+'Annual Model'!U41+'Annual Model'!V41</f>
        <v/>
      </c>
    </row>
    <row r="32">
      <c r="A32" s="10" t="inlineStr">
        <is>
          <t>Total Other Expenses</t>
        </is>
      </c>
      <c r="C32" s="13">
        <f>'Annual Model'!C42+'Annual Model'!D42+'Annual Model'!E42+'Annual Model'!F42+'Annual Model'!G42+'Annual Model'!H42+'Annual Model'!I42+'Annual Model'!J42+'Annual Model'!K42+'Annual Model'!L42+'Annual Model'!M42+'Annual Model'!N42+'Annual Model'!O42+'Annual Model'!P42+'Annual Model'!Q42+'Annual Model'!R42+'Annual Model'!S42+'Annual Model'!T42+'Annual Model'!U42+'Annual Model'!V42</f>
        <v/>
      </c>
    </row>
    <row r="33">
      <c r="A33" s="10" t="inlineStr">
        <is>
          <t>Total All-In Fees &amp; Expenses</t>
        </is>
      </c>
      <c r="C33" s="13">
        <f>'Annual Model'!C43+'Annual Model'!D43+'Annual Model'!E43+'Annual Model'!F43+'Annual Model'!G43+'Annual Model'!H43+'Annual Model'!I43+'Annual Model'!J43+'Annual Model'!K43+'Annual Model'!L43+'Annual Model'!M43+'Annual Model'!N43+'Annual Model'!O43+'Annual Model'!P43+'Annual Model'!Q43+'Annual Model'!R43+'Annual Model'!S43+'Annual Model'!T43+'Annual Model'!U43+'Annual Model'!V43</f>
        <v/>
      </c>
    </row>
    <row r="34">
      <c r="A34" s="10" t="inlineStr">
        <is>
          <t>Fee Drag (Fees / Gross Income)</t>
        </is>
      </c>
      <c r="C34" s="11">
        <f>IF(C26=0,0,C33/C26)</f>
        <v/>
      </c>
    </row>
    <row r="35">
      <c r="A35" s="10" t="inlineStr">
        <is>
          <t>Net-to-Gross Ratio</t>
        </is>
      </c>
      <c r="C35" s="11">
        <f>IF(C26=0,0,C25/C26)</f>
        <v/>
      </c>
    </row>
    <row r="37">
      <c r="A37" s="8" t="inlineStr">
        <is>
          <t>Yield &amp; Risk Metrics</t>
        </is>
      </c>
      <c r="B37" s="9" t="n"/>
      <c r="C37" s="9" t="n"/>
      <c r="D37" s="9" t="n"/>
      <c r="E37" s="9" t="n"/>
      <c r="F37" s="9" t="n"/>
      <c r="G37" s="9" t="n"/>
      <c r="H37" s="9" t="n"/>
    </row>
    <row r="38">
      <c r="A38" s="10" t="inlineStr">
        <is>
          <t>Year 1 Net Yield</t>
        </is>
      </c>
      <c r="C38" s="11">
        <f>'Annual Model'!C47</f>
        <v/>
      </c>
    </row>
    <row r="39">
      <c r="A39" s="10" t="inlineStr">
        <is>
          <t>Year 20 Net Yield</t>
        </is>
      </c>
      <c r="C39" s="11">
        <f>'Annual Model'!V47</f>
        <v/>
      </c>
    </row>
    <row r="40">
      <c r="A40" s="10" t="inlineStr">
        <is>
          <t>Best Year Net Yield</t>
        </is>
      </c>
      <c r="C40" s="11">
        <f>MAX('Annual Model'!C47,'Annual Model'!D47,'Annual Model'!E47,'Annual Model'!F47,'Annual Model'!G47,'Annual Model'!H47,'Annual Model'!I47,'Annual Model'!J47,'Annual Model'!K47,'Annual Model'!L47,'Annual Model'!M47,'Annual Model'!N47,'Annual Model'!O47,'Annual Model'!P47,'Annual Model'!Q47,'Annual Model'!R47,'Annual Model'!S47,'Annual Model'!T47,'Annual Model'!U47,'Annual Model'!V47)</f>
        <v/>
      </c>
    </row>
    <row r="41">
      <c r="A41" s="10" t="inlineStr">
        <is>
          <t>Worst Year Net Yield</t>
        </is>
      </c>
      <c r="C41" s="11">
        <f>MIN('Annual Model'!C47,'Annual Model'!D47,'Annual Model'!E47,'Annual Model'!F47,'Annual Model'!G47,'Annual Model'!H47,'Annual Model'!I47,'Annual Model'!J47,'Annual Model'!K47,'Annual Model'!L47,'Annual Model'!M47,'Annual Model'!N47,'Annual Model'!O47,'Annual Model'!P47,'Annual Model'!Q47,'Annual Model'!R47,'Annual Model'!S47,'Annual Model'!T47,'Annual Model'!U47,'Annual Model'!V47)</f>
        <v/>
      </c>
    </row>
    <row r="42">
      <c r="A42" s="10" t="inlineStr">
        <is>
          <t>Year 1 Gross Yield</t>
        </is>
      </c>
      <c r="C42" s="11">
        <f>'Annual Model'!C20</f>
        <v/>
      </c>
    </row>
    <row r="43">
      <c r="A43" s="10" t="inlineStr">
        <is>
          <t>Gross-to-Net Spread (Avg)</t>
        </is>
      </c>
      <c r="C43" s="11">
        <f>C16-C15</f>
        <v/>
      </c>
    </row>
    <row r="46">
      <c r="A46" s="14" t="inlineStr">
        <is>
          <t>Input cells are highlighted in orange. Modify inputs to update the model.</t>
        </is>
      </c>
      <c r="E46" s="15">
        <f> Input</f>
        <v/>
      </c>
    </row>
  </sheetData>
  <mergeCells count="32">
    <mergeCell ref="A24:B24"/>
    <mergeCell ref="A30:B30"/>
    <mergeCell ref="A15:B15"/>
    <mergeCell ref="A1:H1"/>
    <mergeCell ref="A6:B6"/>
    <mergeCell ref="A16:B16"/>
    <mergeCell ref="A7:B7"/>
    <mergeCell ref="A25:B25"/>
    <mergeCell ref="A41:B41"/>
    <mergeCell ref="A18:B18"/>
    <mergeCell ref="A27:B27"/>
    <mergeCell ref="A26:B26"/>
    <mergeCell ref="A3:H3"/>
    <mergeCell ref="A33:B33"/>
    <mergeCell ref="A5:B5"/>
    <mergeCell ref="A42:B42"/>
    <mergeCell ref="A32:B32"/>
    <mergeCell ref="A23:B23"/>
    <mergeCell ref="A17:B17"/>
    <mergeCell ref="A8:B8"/>
    <mergeCell ref="A46:D46"/>
    <mergeCell ref="A22:B22"/>
    <mergeCell ref="A35:B35"/>
    <mergeCell ref="A38:B38"/>
    <mergeCell ref="A43:B43"/>
    <mergeCell ref="A19:B19"/>
    <mergeCell ref="A13:H13"/>
    <mergeCell ref="A40:B40"/>
    <mergeCell ref="A9:B9"/>
    <mergeCell ref="A31:B31"/>
    <mergeCell ref="A39:B39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8D19"/>
    <outlinePr summaryBelow="1" summaryRight="1"/>
    <pageSetUpPr/>
  </sheetPr>
  <dimension ref="A1:V4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</cols>
  <sheetData>
    <row r="1">
      <c r="A1" s="1" t="inlineStr">
        <is>
          <t>Annual Financial Model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3">
      <c r="A3" s="3" t="inlineStr">
        <is>
          <t>INPUTS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>
      <c r="A4" s="9" t="inlineStr"/>
      <c r="B4" s="16" t="n"/>
      <c r="C4" s="17" t="inlineStr">
        <is>
          <t>Year 1</t>
        </is>
      </c>
      <c r="D4" s="17" t="inlineStr">
        <is>
          <t>Year 2</t>
        </is>
      </c>
      <c r="E4" s="17" t="inlineStr">
        <is>
          <t>Year 3</t>
        </is>
      </c>
      <c r="F4" s="17" t="inlineStr">
        <is>
          <t>Year 4</t>
        </is>
      </c>
      <c r="G4" s="17" t="inlineStr">
        <is>
          <t>Year 5</t>
        </is>
      </c>
      <c r="H4" s="17" t="inlineStr">
        <is>
          <t>Year 6</t>
        </is>
      </c>
      <c r="I4" s="17" t="inlineStr">
        <is>
          <t>Year 7</t>
        </is>
      </c>
      <c r="J4" s="17" t="inlineStr">
        <is>
          <t>Year 8</t>
        </is>
      </c>
      <c r="K4" s="17" t="inlineStr">
        <is>
          <t>Year 9</t>
        </is>
      </c>
      <c r="L4" s="17" t="inlineStr">
        <is>
          <t>Year 10</t>
        </is>
      </c>
      <c r="M4" s="17" t="inlineStr">
        <is>
          <t>Year 11</t>
        </is>
      </c>
      <c r="N4" s="17" t="inlineStr">
        <is>
          <t>Year 12</t>
        </is>
      </c>
      <c r="O4" s="17" t="inlineStr">
        <is>
          <t>Year 13</t>
        </is>
      </c>
      <c r="P4" s="17" t="inlineStr">
        <is>
          <t>Year 14</t>
        </is>
      </c>
      <c r="Q4" s="17" t="inlineStr">
        <is>
          <t>Year 15</t>
        </is>
      </c>
      <c r="R4" s="17" t="inlineStr">
        <is>
          <t>Year 16</t>
        </is>
      </c>
      <c r="S4" s="17" t="inlineStr">
        <is>
          <t>Year 17</t>
        </is>
      </c>
      <c r="T4" s="17" t="inlineStr">
        <is>
          <t>Year 18</t>
        </is>
      </c>
      <c r="U4" s="17" t="inlineStr">
        <is>
          <t>Year 19</t>
        </is>
      </c>
      <c r="V4" s="17" t="inlineStr">
        <is>
          <t>Year 20</t>
        </is>
      </c>
    </row>
    <row r="5">
      <c r="A5" s="8" t="inlineStr">
        <is>
          <t>Asset Allocation</t>
        </is>
      </c>
      <c r="B5" s="9" t="inlineStr">
        <is>
          <t>%</t>
        </is>
      </c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</row>
    <row r="6">
      <c r="A6" s="10" t="inlineStr">
        <is>
          <t>LIHTC Loans</t>
        </is>
      </c>
      <c r="B6" s="18" t="n"/>
      <c r="C6" s="19" t="n">
        <v>0.35</v>
      </c>
      <c r="D6" s="19" t="n">
        <v>0.35</v>
      </c>
      <c r="E6" s="19" t="n">
        <v>0.35</v>
      </c>
      <c r="F6" s="19" t="n">
        <v>0.35</v>
      </c>
      <c r="G6" s="19" t="n">
        <v>0.35</v>
      </c>
      <c r="H6" s="19" t="n">
        <v>0.35</v>
      </c>
      <c r="I6" s="19" t="n">
        <v>0.35</v>
      </c>
      <c r="J6" s="19" t="n">
        <v>0.35</v>
      </c>
      <c r="K6" s="19" t="n">
        <v>0.35</v>
      </c>
      <c r="L6" s="19" t="n">
        <v>0.35</v>
      </c>
      <c r="M6" s="19" t="n">
        <v>0.35</v>
      </c>
      <c r="N6" s="19" t="n">
        <v>0.35</v>
      </c>
      <c r="O6" s="19" t="n">
        <v>0.35</v>
      </c>
      <c r="P6" s="19" t="n">
        <v>0.35</v>
      </c>
      <c r="Q6" s="19" t="n">
        <v>0.35</v>
      </c>
      <c r="R6" s="19" t="n">
        <v>0.35</v>
      </c>
      <c r="S6" s="19" t="n">
        <v>0.35</v>
      </c>
      <c r="T6" s="19" t="n">
        <v>0.35</v>
      </c>
      <c r="U6" s="19" t="n">
        <v>0.35</v>
      </c>
      <c r="V6" s="19" t="n">
        <v>0.35</v>
      </c>
    </row>
    <row r="7">
      <c r="A7" s="10" t="inlineStr">
        <is>
          <t>Municipal Bonds</t>
        </is>
      </c>
      <c r="B7" s="18" t="n"/>
      <c r="C7" s="19" t="n">
        <v>0.25</v>
      </c>
      <c r="D7" s="19" t="n">
        <v>0.25</v>
      </c>
      <c r="E7" s="19" t="n">
        <v>0.25</v>
      </c>
      <c r="F7" s="19" t="n">
        <v>0.25</v>
      </c>
      <c r="G7" s="19" t="n">
        <v>0.25</v>
      </c>
      <c r="H7" s="19" t="n">
        <v>0.25</v>
      </c>
      <c r="I7" s="19" t="n">
        <v>0.25</v>
      </c>
      <c r="J7" s="19" t="n">
        <v>0.25</v>
      </c>
      <c r="K7" s="19" t="n">
        <v>0.25</v>
      </c>
      <c r="L7" s="19" t="n">
        <v>0.25</v>
      </c>
      <c r="M7" s="19" t="n">
        <v>0.25</v>
      </c>
      <c r="N7" s="19" t="n">
        <v>0.25</v>
      </c>
      <c r="O7" s="19" t="n">
        <v>0.25</v>
      </c>
      <c r="P7" s="19" t="n">
        <v>0.25</v>
      </c>
      <c r="Q7" s="19" t="n">
        <v>0.25</v>
      </c>
      <c r="R7" s="19" t="n">
        <v>0.25</v>
      </c>
      <c r="S7" s="19" t="n">
        <v>0.25</v>
      </c>
      <c r="T7" s="19" t="n">
        <v>0.25</v>
      </c>
      <c r="U7" s="19" t="n">
        <v>0.25</v>
      </c>
      <c r="V7" s="19" t="n">
        <v>0.25</v>
      </c>
    </row>
    <row r="8">
      <c r="A8" s="10" t="inlineStr">
        <is>
          <t>JVs</t>
        </is>
      </c>
      <c r="B8" s="18" t="n"/>
      <c r="C8" s="19" t="n">
        <v>0.15</v>
      </c>
      <c r="D8" s="19" t="n">
        <v>0.15</v>
      </c>
      <c r="E8" s="19" t="n">
        <v>0.15</v>
      </c>
      <c r="F8" s="19" t="n">
        <v>0.15</v>
      </c>
      <c r="G8" s="19" t="n">
        <v>0.15</v>
      </c>
      <c r="H8" s="19" t="n">
        <v>0.15</v>
      </c>
      <c r="I8" s="19" t="n">
        <v>0.15</v>
      </c>
      <c r="J8" s="19" t="n">
        <v>0.15</v>
      </c>
      <c r="K8" s="19" t="n">
        <v>0.15</v>
      </c>
      <c r="L8" s="19" t="n">
        <v>0.15</v>
      </c>
      <c r="M8" s="19" t="n">
        <v>0.15</v>
      </c>
      <c r="N8" s="19" t="n">
        <v>0.15</v>
      </c>
      <c r="O8" s="19" t="n">
        <v>0.15</v>
      </c>
      <c r="P8" s="19" t="n">
        <v>0.15</v>
      </c>
      <c r="Q8" s="19" t="n">
        <v>0.15</v>
      </c>
      <c r="R8" s="19" t="n">
        <v>0.15</v>
      </c>
      <c r="S8" s="19" t="n">
        <v>0.15</v>
      </c>
      <c r="T8" s="19" t="n">
        <v>0.15</v>
      </c>
      <c r="U8" s="19" t="n">
        <v>0.15</v>
      </c>
      <c r="V8" s="19" t="n">
        <v>0.15</v>
      </c>
    </row>
    <row r="9">
      <c r="A9" s="10" t="inlineStr">
        <is>
          <t>Securitization Residuals (B-Pieces)</t>
        </is>
      </c>
      <c r="B9" s="18" t="n"/>
      <c r="C9" s="19" t="n">
        <v>0.15</v>
      </c>
      <c r="D9" s="19" t="n">
        <v>0.15</v>
      </c>
      <c r="E9" s="19" t="n">
        <v>0.15</v>
      </c>
      <c r="F9" s="19" t="n">
        <v>0.15</v>
      </c>
      <c r="G9" s="19" t="n">
        <v>0.15</v>
      </c>
      <c r="H9" s="19" t="n">
        <v>0.15</v>
      </c>
      <c r="I9" s="19" t="n">
        <v>0.15</v>
      </c>
      <c r="J9" s="19" t="n">
        <v>0.15</v>
      </c>
      <c r="K9" s="19" t="n">
        <v>0.15</v>
      </c>
      <c r="L9" s="19" t="n">
        <v>0.15</v>
      </c>
      <c r="M9" s="19" t="n">
        <v>0.15</v>
      </c>
      <c r="N9" s="19" t="n">
        <v>0.15</v>
      </c>
      <c r="O9" s="19" t="n">
        <v>0.15</v>
      </c>
      <c r="P9" s="19" t="n">
        <v>0.15</v>
      </c>
      <c r="Q9" s="19" t="n">
        <v>0.15</v>
      </c>
      <c r="R9" s="19" t="n">
        <v>0.15</v>
      </c>
      <c r="S9" s="19" t="n">
        <v>0.15</v>
      </c>
      <c r="T9" s="19" t="n">
        <v>0.15</v>
      </c>
      <c r="U9" s="19" t="n">
        <v>0.15</v>
      </c>
      <c r="V9" s="19" t="n">
        <v>0.15</v>
      </c>
    </row>
    <row r="10">
      <c r="A10" s="10" t="inlineStr">
        <is>
          <t>Cash</t>
        </is>
      </c>
      <c r="B10" s="18" t="n"/>
      <c r="C10" s="19" t="n">
        <v>0.1</v>
      </c>
      <c r="D10" s="19" t="n">
        <v>0.1</v>
      </c>
      <c r="E10" s="19" t="n">
        <v>0.1</v>
      </c>
      <c r="F10" s="19" t="n">
        <v>0.1</v>
      </c>
      <c r="G10" s="19" t="n">
        <v>0.1</v>
      </c>
      <c r="H10" s="19" t="n">
        <v>0.1</v>
      </c>
      <c r="I10" s="19" t="n">
        <v>0.1</v>
      </c>
      <c r="J10" s="19" t="n">
        <v>0.1</v>
      </c>
      <c r="K10" s="19" t="n">
        <v>0.1</v>
      </c>
      <c r="L10" s="19" t="n">
        <v>0.1</v>
      </c>
      <c r="M10" s="19" t="n">
        <v>0.1</v>
      </c>
      <c r="N10" s="19" t="n">
        <v>0.1</v>
      </c>
      <c r="O10" s="19" t="n">
        <v>0.1</v>
      </c>
      <c r="P10" s="19" t="n">
        <v>0.1</v>
      </c>
      <c r="Q10" s="19" t="n">
        <v>0.1</v>
      </c>
      <c r="R10" s="19" t="n">
        <v>0.1</v>
      </c>
      <c r="S10" s="19" t="n">
        <v>0.1</v>
      </c>
      <c r="T10" s="19" t="n">
        <v>0.1</v>
      </c>
      <c r="U10" s="19" t="n">
        <v>0.1</v>
      </c>
      <c r="V10" s="19" t="n">
        <v>0.1</v>
      </c>
    </row>
    <row r="11">
      <c r="A11" s="20" t="inlineStr">
        <is>
          <t>Total Allocation</t>
        </is>
      </c>
      <c r="B11" s="18" t="n"/>
      <c r="C11" s="21">
        <f>SUM(C6:C10)</f>
        <v/>
      </c>
      <c r="D11" s="21">
        <f>SUM(D6:D10)</f>
        <v/>
      </c>
      <c r="E11" s="21">
        <f>SUM(E6:E10)</f>
        <v/>
      </c>
      <c r="F11" s="21">
        <f>SUM(F6:F10)</f>
        <v/>
      </c>
      <c r="G11" s="21">
        <f>SUM(G6:G10)</f>
        <v/>
      </c>
      <c r="H11" s="21">
        <f>SUM(H6:H10)</f>
        <v/>
      </c>
      <c r="I11" s="21">
        <f>SUM(I6:I10)</f>
        <v/>
      </c>
      <c r="J11" s="21">
        <f>SUM(J6:J10)</f>
        <v/>
      </c>
      <c r="K11" s="21">
        <f>SUM(K6:K10)</f>
        <v/>
      </c>
      <c r="L11" s="21">
        <f>SUM(L6:L10)</f>
        <v/>
      </c>
      <c r="M11" s="21">
        <f>SUM(M6:M10)</f>
        <v/>
      </c>
      <c r="N11" s="21">
        <f>SUM(N6:N10)</f>
        <v/>
      </c>
      <c r="O11" s="21">
        <f>SUM(O6:O10)</f>
        <v/>
      </c>
      <c r="P11" s="21">
        <f>SUM(P6:P10)</f>
        <v/>
      </c>
      <c r="Q11" s="21">
        <f>SUM(Q6:Q10)</f>
        <v/>
      </c>
      <c r="R11" s="21">
        <f>SUM(R6:R10)</f>
        <v/>
      </c>
      <c r="S11" s="21">
        <f>SUM(S6:S10)</f>
        <v/>
      </c>
      <c r="T11" s="21">
        <f>SUM(T6:T10)</f>
        <v/>
      </c>
      <c r="U11" s="21">
        <f>SUM(U6:U10)</f>
        <v/>
      </c>
      <c r="V11" s="21">
        <f>SUM(V6:V10)</f>
        <v/>
      </c>
    </row>
    <row r="12">
      <c r="A12" s="8" t="inlineStr">
        <is>
          <t>Expected Yields</t>
        </is>
      </c>
      <c r="B12" s="9" t="inlineStr">
        <is>
          <t>%</t>
        </is>
      </c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</row>
    <row r="13">
      <c r="A13" s="10" t="inlineStr">
        <is>
          <t>LIHTC Loans</t>
        </is>
      </c>
      <c r="B13" s="18" t="n"/>
      <c r="C13" s="19" t="n">
        <v>0.065</v>
      </c>
      <c r="D13" s="19" t="n">
        <v>0.065</v>
      </c>
      <c r="E13" s="19" t="n">
        <v>0.065</v>
      </c>
      <c r="F13" s="19" t="n">
        <v>0.065</v>
      </c>
      <c r="G13" s="19" t="n">
        <v>0.065</v>
      </c>
      <c r="H13" s="19" t="n">
        <v>0.065</v>
      </c>
      <c r="I13" s="19" t="n">
        <v>0.065</v>
      </c>
      <c r="J13" s="19" t="n">
        <v>0.065</v>
      </c>
      <c r="K13" s="19" t="n">
        <v>0.065</v>
      </c>
      <c r="L13" s="19" t="n">
        <v>0.065</v>
      </c>
      <c r="M13" s="19" t="n">
        <v>0.065</v>
      </c>
      <c r="N13" s="19" t="n">
        <v>0.065</v>
      </c>
      <c r="O13" s="19" t="n">
        <v>0.065</v>
      </c>
      <c r="P13" s="19" t="n">
        <v>0.065</v>
      </c>
      <c r="Q13" s="19" t="n">
        <v>0.065</v>
      </c>
      <c r="R13" s="19" t="n">
        <v>0.065</v>
      </c>
      <c r="S13" s="19" t="n">
        <v>0.065</v>
      </c>
      <c r="T13" s="19" t="n">
        <v>0.065</v>
      </c>
      <c r="U13" s="19" t="n">
        <v>0.065</v>
      </c>
      <c r="V13" s="19" t="n">
        <v>0.065</v>
      </c>
    </row>
    <row r="14">
      <c r="A14" s="10" t="inlineStr">
        <is>
          <t>Municipal Bonds</t>
        </is>
      </c>
      <c r="B14" s="18" t="n"/>
      <c r="C14" s="19" t="n">
        <v>0.045</v>
      </c>
      <c r="D14" s="19" t="n">
        <v>0.045</v>
      </c>
      <c r="E14" s="19" t="n">
        <v>0.045</v>
      </c>
      <c r="F14" s="19" t="n">
        <v>0.045</v>
      </c>
      <c r="G14" s="19" t="n">
        <v>0.045</v>
      </c>
      <c r="H14" s="19" t="n">
        <v>0.045</v>
      </c>
      <c r="I14" s="19" t="n">
        <v>0.045</v>
      </c>
      <c r="J14" s="19" t="n">
        <v>0.045</v>
      </c>
      <c r="K14" s="19" t="n">
        <v>0.045</v>
      </c>
      <c r="L14" s="19" t="n">
        <v>0.045</v>
      </c>
      <c r="M14" s="19" t="n">
        <v>0.045</v>
      </c>
      <c r="N14" s="19" t="n">
        <v>0.045</v>
      </c>
      <c r="O14" s="19" t="n">
        <v>0.045</v>
      </c>
      <c r="P14" s="19" t="n">
        <v>0.045</v>
      </c>
      <c r="Q14" s="19" t="n">
        <v>0.045</v>
      </c>
      <c r="R14" s="19" t="n">
        <v>0.045</v>
      </c>
      <c r="S14" s="19" t="n">
        <v>0.045</v>
      </c>
      <c r="T14" s="19" t="n">
        <v>0.045</v>
      </c>
      <c r="U14" s="19" t="n">
        <v>0.045</v>
      </c>
      <c r="V14" s="19" t="n">
        <v>0.045</v>
      </c>
    </row>
    <row r="15">
      <c r="A15" s="10" t="inlineStr">
        <is>
          <t>JVs</t>
        </is>
      </c>
      <c r="B15" s="18" t="n"/>
      <c r="C15" s="19" t="n">
        <v>0.08</v>
      </c>
      <c r="D15" s="19" t="n">
        <v>0.08</v>
      </c>
      <c r="E15" s="19" t="n">
        <v>0.08</v>
      </c>
      <c r="F15" s="19" t="n">
        <v>0.08</v>
      </c>
      <c r="G15" s="19" t="n">
        <v>0.08</v>
      </c>
      <c r="H15" s="19" t="n">
        <v>0.08</v>
      </c>
      <c r="I15" s="19" t="n">
        <v>0.08</v>
      </c>
      <c r="J15" s="19" t="n">
        <v>0.08</v>
      </c>
      <c r="K15" s="19" t="n">
        <v>0.08</v>
      </c>
      <c r="L15" s="19" t="n">
        <v>0.08</v>
      </c>
      <c r="M15" s="19" t="n">
        <v>0.08</v>
      </c>
      <c r="N15" s="19" t="n">
        <v>0.08</v>
      </c>
      <c r="O15" s="19" t="n">
        <v>0.08</v>
      </c>
      <c r="P15" s="19" t="n">
        <v>0.08</v>
      </c>
      <c r="Q15" s="19" t="n">
        <v>0.08</v>
      </c>
      <c r="R15" s="19" t="n">
        <v>0.08</v>
      </c>
      <c r="S15" s="19" t="n">
        <v>0.08</v>
      </c>
      <c r="T15" s="19" t="n">
        <v>0.08</v>
      </c>
      <c r="U15" s="19" t="n">
        <v>0.08</v>
      </c>
      <c r="V15" s="19" t="n">
        <v>0.08</v>
      </c>
    </row>
    <row r="16">
      <c r="A16" s="10" t="inlineStr">
        <is>
          <t>Securitization Residuals (B-Pieces)</t>
        </is>
      </c>
      <c r="B16" s="18" t="n"/>
      <c r="C16" s="19" t="n">
        <v>0.075</v>
      </c>
      <c r="D16" s="19" t="n">
        <v>0.075</v>
      </c>
      <c r="E16" s="19" t="n">
        <v>0.075</v>
      </c>
      <c r="F16" s="19" t="n">
        <v>0.075</v>
      </c>
      <c r="G16" s="19" t="n">
        <v>0.075</v>
      </c>
      <c r="H16" s="19" t="n">
        <v>0.075</v>
      </c>
      <c r="I16" s="19" t="n">
        <v>0.075</v>
      </c>
      <c r="J16" s="19" t="n">
        <v>0.075</v>
      </c>
      <c r="K16" s="19" t="n">
        <v>0.075</v>
      </c>
      <c r="L16" s="19" t="n">
        <v>0.075</v>
      </c>
      <c r="M16" s="19" t="n">
        <v>0.075</v>
      </c>
      <c r="N16" s="19" t="n">
        <v>0.075</v>
      </c>
      <c r="O16" s="19" t="n">
        <v>0.075</v>
      </c>
      <c r="P16" s="19" t="n">
        <v>0.075</v>
      </c>
      <c r="Q16" s="19" t="n">
        <v>0.075</v>
      </c>
      <c r="R16" s="19" t="n">
        <v>0.075</v>
      </c>
      <c r="S16" s="19" t="n">
        <v>0.075</v>
      </c>
      <c r="T16" s="19" t="n">
        <v>0.075</v>
      </c>
      <c r="U16" s="19" t="n">
        <v>0.075</v>
      </c>
      <c r="V16" s="19" t="n">
        <v>0.075</v>
      </c>
    </row>
    <row r="17">
      <c r="A17" s="10" t="inlineStr">
        <is>
          <t>Cash</t>
        </is>
      </c>
      <c r="B17" s="18" t="n"/>
      <c r="C17" s="19" t="n">
        <v>0.02</v>
      </c>
      <c r="D17" s="19" t="n">
        <v>0.02</v>
      </c>
      <c r="E17" s="19" t="n">
        <v>0.02</v>
      </c>
      <c r="F17" s="19" t="n">
        <v>0.02</v>
      </c>
      <c r="G17" s="19" t="n">
        <v>0.02</v>
      </c>
      <c r="H17" s="19" t="n">
        <v>0.02</v>
      </c>
      <c r="I17" s="19" t="n">
        <v>0.02</v>
      </c>
      <c r="J17" s="19" t="n">
        <v>0.02</v>
      </c>
      <c r="K17" s="19" t="n">
        <v>0.02</v>
      </c>
      <c r="L17" s="19" t="n">
        <v>0.02</v>
      </c>
      <c r="M17" s="19" t="n">
        <v>0.02</v>
      </c>
      <c r="N17" s="19" t="n">
        <v>0.02</v>
      </c>
      <c r="O17" s="19" t="n">
        <v>0.02</v>
      </c>
      <c r="P17" s="19" t="n">
        <v>0.02</v>
      </c>
      <c r="Q17" s="19" t="n">
        <v>0.02</v>
      </c>
      <c r="R17" s="19" t="n">
        <v>0.02</v>
      </c>
      <c r="S17" s="19" t="n">
        <v>0.02</v>
      </c>
      <c r="T17" s="19" t="n">
        <v>0.02</v>
      </c>
      <c r="U17" s="19" t="n">
        <v>0.02</v>
      </c>
      <c r="V17" s="19" t="n">
        <v>0.02</v>
      </c>
    </row>
    <row r="18">
      <c r="A18" s="3" t="inlineStr">
        <is>
          <t>PORTFOLIO PERFORMANCE</t>
        </is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</row>
    <row r="19">
      <c r="A19" s="20" t="inlineStr">
        <is>
          <t>Beginning AUM</t>
        </is>
      </c>
      <c r="B19" s="22" t="inlineStr">
        <is>
          <t>$</t>
        </is>
      </c>
      <c r="C19" s="13">
        <f>Summary!$C$5</f>
        <v/>
      </c>
      <c r="D19" s="13">
        <f>C48</f>
        <v/>
      </c>
      <c r="E19" s="13">
        <f>D48</f>
        <v/>
      </c>
      <c r="F19" s="13">
        <f>E48</f>
        <v/>
      </c>
      <c r="G19" s="13">
        <f>F48</f>
        <v/>
      </c>
      <c r="H19" s="13">
        <f>G48</f>
        <v/>
      </c>
      <c r="I19" s="13">
        <f>H48</f>
        <v/>
      </c>
      <c r="J19" s="13">
        <f>I48</f>
        <v/>
      </c>
      <c r="K19" s="13">
        <f>J48</f>
        <v/>
      </c>
      <c r="L19" s="13">
        <f>K48</f>
        <v/>
      </c>
      <c r="M19" s="13">
        <f>L48</f>
        <v/>
      </c>
      <c r="N19" s="13">
        <f>M48</f>
        <v/>
      </c>
      <c r="O19" s="13">
        <f>N48</f>
        <v/>
      </c>
      <c r="P19" s="13">
        <f>O48</f>
        <v/>
      </c>
      <c r="Q19" s="13">
        <f>P48</f>
        <v/>
      </c>
      <c r="R19" s="13">
        <f>Q48</f>
        <v/>
      </c>
      <c r="S19" s="13">
        <f>R48</f>
        <v/>
      </c>
      <c r="T19" s="13">
        <f>S48</f>
        <v/>
      </c>
      <c r="U19" s="13">
        <f>T48</f>
        <v/>
      </c>
      <c r="V19" s="13">
        <f>U48</f>
        <v/>
      </c>
    </row>
    <row r="20">
      <c r="A20" s="20" t="inlineStr">
        <is>
          <t>Gross Portfolio Yield</t>
        </is>
      </c>
      <c r="B20" s="22" t="inlineStr">
        <is>
          <t>%</t>
        </is>
      </c>
      <c r="C20" s="11">
        <f>SUMPRODUCT(C6:C10,C13:C17)</f>
        <v/>
      </c>
      <c r="D20" s="11">
        <f>SUMPRODUCT(D6:D10,D13:D17)</f>
        <v/>
      </c>
      <c r="E20" s="11">
        <f>SUMPRODUCT(E6:E10,E13:E17)</f>
        <v/>
      </c>
      <c r="F20" s="11">
        <f>SUMPRODUCT(F6:F10,F13:F17)</f>
        <v/>
      </c>
      <c r="G20" s="11">
        <f>SUMPRODUCT(G6:G10,G13:G17)</f>
        <v/>
      </c>
      <c r="H20" s="11">
        <f>SUMPRODUCT(H6:H10,H13:H17)</f>
        <v/>
      </c>
      <c r="I20" s="11">
        <f>SUMPRODUCT(I6:I10,I13:I17)</f>
        <v/>
      </c>
      <c r="J20" s="11">
        <f>SUMPRODUCT(J6:J10,J13:J17)</f>
        <v/>
      </c>
      <c r="K20" s="11">
        <f>SUMPRODUCT(K6:K10,K13:K17)</f>
        <v/>
      </c>
      <c r="L20" s="11">
        <f>SUMPRODUCT(L6:L10,L13:L17)</f>
        <v/>
      </c>
      <c r="M20" s="11">
        <f>SUMPRODUCT(M6:M10,M13:M17)</f>
        <v/>
      </c>
      <c r="N20" s="11">
        <f>SUMPRODUCT(N6:N10,N13:N17)</f>
        <v/>
      </c>
      <c r="O20" s="11">
        <f>SUMPRODUCT(O6:O10,O13:O17)</f>
        <v/>
      </c>
      <c r="P20" s="11">
        <f>SUMPRODUCT(P6:P10,P13:P17)</f>
        <v/>
      </c>
      <c r="Q20" s="11">
        <f>SUMPRODUCT(Q6:Q10,Q13:Q17)</f>
        <v/>
      </c>
      <c r="R20" s="11">
        <f>SUMPRODUCT(R6:R10,R13:R17)</f>
        <v/>
      </c>
      <c r="S20" s="11">
        <f>SUMPRODUCT(S6:S10,S13:S17)</f>
        <v/>
      </c>
      <c r="T20" s="11">
        <f>SUMPRODUCT(T6:T10,T13:T17)</f>
        <v/>
      </c>
      <c r="U20" s="11">
        <f>SUMPRODUCT(U6:U10,U13:U17)</f>
        <v/>
      </c>
      <c r="V20" s="11">
        <f>SUMPRODUCT(V6:V10,V13:V17)</f>
        <v/>
      </c>
    </row>
    <row r="22">
      <c r="A22" s="8" t="inlineStr">
        <is>
          <t>Income by Asset Class</t>
        </is>
      </c>
      <c r="B22" s="9" t="inlineStr">
        <is>
          <t>$</t>
        </is>
      </c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</row>
    <row r="23">
      <c r="A23" s="10" t="inlineStr">
        <is>
          <t>LIHTC Loans</t>
        </is>
      </c>
      <c r="B23" s="18" t="n"/>
      <c r="C23" s="23">
        <f>C19*C6*C13</f>
        <v/>
      </c>
      <c r="D23" s="23">
        <f>D19*D6*D13</f>
        <v/>
      </c>
      <c r="E23" s="23">
        <f>E19*E6*E13</f>
        <v/>
      </c>
      <c r="F23" s="23">
        <f>F19*F6*F13</f>
        <v/>
      </c>
      <c r="G23" s="23">
        <f>G19*G6*G13</f>
        <v/>
      </c>
      <c r="H23" s="23">
        <f>H19*H6*H13</f>
        <v/>
      </c>
      <c r="I23" s="23">
        <f>I19*I6*I13</f>
        <v/>
      </c>
      <c r="J23" s="23">
        <f>J19*J6*J13</f>
        <v/>
      </c>
      <c r="K23" s="23">
        <f>K19*K6*K13</f>
        <v/>
      </c>
      <c r="L23" s="23">
        <f>L19*L6*L13</f>
        <v/>
      </c>
      <c r="M23" s="23">
        <f>M19*M6*M13</f>
        <v/>
      </c>
      <c r="N23" s="23">
        <f>N19*N6*N13</f>
        <v/>
      </c>
      <c r="O23" s="23">
        <f>O19*O6*O13</f>
        <v/>
      </c>
      <c r="P23" s="23">
        <f>P19*P6*P13</f>
        <v/>
      </c>
      <c r="Q23" s="23">
        <f>Q19*Q6*Q13</f>
        <v/>
      </c>
      <c r="R23" s="23">
        <f>R19*R6*R13</f>
        <v/>
      </c>
      <c r="S23" s="23">
        <f>S19*S6*S13</f>
        <v/>
      </c>
      <c r="T23" s="23">
        <f>T19*T6*T13</f>
        <v/>
      </c>
      <c r="U23" s="23">
        <f>U19*U6*U13</f>
        <v/>
      </c>
      <c r="V23" s="23">
        <f>V19*V6*V13</f>
        <v/>
      </c>
    </row>
    <row r="24">
      <c r="A24" s="10" t="inlineStr">
        <is>
          <t>Municipal Bonds</t>
        </is>
      </c>
      <c r="B24" s="18" t="n"/>
      <c r="C24" s="23">
        <f>C19*C7*C14</f>
        <v/>
      </c>
      <c r="D24" s="23">
        <f>D19*D7*D14</f>
        <v/>
      </c>
      <c r="E24" s="23">
        <f>E19*E7*E14</f>
        <v/>
      </c>
      <c r="F24" s="23">
        <f>F19*F7*F14</f>
        <v/>
      </c>
      <c r="G24" s="23">
        <f>G19*G7*G14</f>
        <v/>
      </c>
      <c r="H24" s="23">
        <f>H19*H7*H14</f>
        <v/>
      </c>
      <c r="I24" s="23">
        <f>I19*I7*I14</f>
        <v/>
      </c>
      <c r="J24" s="23">
        <f>J19*J7*J14</f>
        <v/>
      </c>
      <c r="K24" s="23">
        <f>K19*K7*K14</f>
        <v/>
      </c>
      <c r="L24" s="23">
        <f>L19*L7*L14</f>
        <v/>
      </c>
      <c r="M24" s="23">
        <f>M19*M7*M14</f>
        <v/>
      </c>
      <c r="N24" s="23">
        <f>N19*N7*N14</f>
        <v/>
      </c>
      <c r="O24" s="23">
        <f>O19*O7*O14</f>
        <v/>
      </c>
      <c r="P24" s="23">
        <f>P19*P7*P14</f>
        <v/>
      </c>
      <c r="Q24" s="23">
        <f>Q19*Q7*Q14</f>
        <v/>
      </c>
      <c r="R24" s="23">
        <f>R19*R7*R14</f>
        <v/>
      </c>
      <c r="S24" s="23">
        <f>S19*S7*S14</f>
        <v/>
      </c>
      <c r="T24" s="23">
        <f>T19*T7*T14</f>
        <v/>
      </c>
      <c r="U24" s="23">
        <f>U19*U7*U14</f>
        <v/>
      </c>
      <c r="V24" s="23">
        <f>V19*V7*V14</f>
        <v/>
      </c>
    </row>
    <row r="25">
      <c r="A25" s="10" t="inlineStr">
        <is>
          <t>JVs</t>
        </is>
      </c>
      <c r="B25" s="18" t="n"/>
      <c r="C25" s="23">
        <f>C19*C8*C15</f>
        <v/>
      </c>
      <c r="D25" s="23">
        <f>D19*D8*D15</f>
        <v/>
      </c>
      <c r="E25" s="23">
        <f>E19*E8*E15</f>
        <v/>
      </c>
      <c r="F25" s="23">
        <f>F19*F8*F15</f>
        <v/>
      </c>
      <c r="G25" s="23">
        <f>G19*G8*G15</f>
        <v/>
      </c>
      <c r="H25" s="23">
        <f>H19*H8*H15</f>
        <v/>
      </c>
      <c r="I25" s="23">
        <f>I19*I8*I15</f>
        <v/>
      </c>
      <c r="J25" s="23">
        <f>J19*J8*J15</f>
        <v/>
      </c>
      <c r="K25" s="23">
        <f>K19*K8*K15</f>
        <v/>
      </c>
      <c r="L25" s="23">
        <f>L19*L8*L15</f>
        <v/>
      </c>
      <c r="M25" s="23">
        <f>M19*M8*M15</f>
        <v/>
      </c>
      <c r="N25" s="23">
        <f>N19*N8*N15</f>
        <v/>
      </c>
      <c r="O25" s="23">
        <f>O19*O8*O15</f>
        <v/>
      </c>
      <c r="P25" s="23">
        <f>P19*P8*P15</f>
        <v/>
      </c>
      <c r="Q25" s="23">
        <f>Q19*Q8*Q15</f>
        <v/>
      </c>
      <c r="R25" s="23">
        <f>R19*R8*R15</f>
        <v/>
      </c>
      <c r="S25" s="23">
        <f>S19*S8*S15</f>
        <v/>
      </c>
      <c r="T25" s="23">
        <f>T19*T8*T15</f>
        <v/>
      </c>
      <c r="U25" s="23">
        <f>U19*U8*U15</f>
        <v/>
      </c>
      <c r="V25" s="23">
        <f>V19*V8*V15</f>
        <v/>
      </c>
    </row>
    <row r="26">
      <c r="A26" s="10" t="inlineStr">
        <is>
          <t>Securitization Residuals (B-Pieces)</t>
        </is>
      </c>
      <c r="B26" s="18" t="n"/>
      <c r="C26" s="23">
        <f>C19*C9*C16</f>
        <v/>
      </c>
      <c r="D26" s="23">
        <f>D19*D9*D16</f>
        <v/>
      </c>
      <c r="E26" s="23">
        <f>E19*E9*E16</f>
        <v/>
      </c>
      <c r="F26" s="23">
        <f>F19*F9*F16</f>
        <v/>
      </c>
      <c r="G26" s="23">
        <f>G19*G9*G16</f>
        <v/>
      </c>
      <c r="H26" s="23">
        <f>H19*H9*H16</f>
        <v/>
      </c>
      <c r="I26" s="23">
        <f>I19*I9*I16</f>
        <v/>
      </c>
      <c r="J26" s="23">
        <f>J19*J9*J16</f>
        <v/>
      </c>
      <c r="K26" s="23">
        <f>K19*K9*K16</f>
        <v/>
      </c>
      <c r="L26" s="23">
        <f>L19*L9*L16</f>
        <v/>
      </c>
      <c r="M26" s="23">
        <f>M19*M9*M16</f>
        <v/>
      </c>
      <c r="N26" s="23">
        <f>N19*N9*N16</f>
        <v/>
      </c>
      <c r="O26" s="23">
        <f>O19*O9*O16</f>
        <v/>
      </c>
      <c r="P26" s="23">
        <f>P19*P9*P16</f>
        <v/>
      </c>
      <c r="Q26" s="23">
        <f>Q19*Q9*Q16</f>
        <v/>
      </c>
      <c r="R26" s="23">
        <f>R19*R9*R16</f>
        <v/>
      </c>
      <c r="S26" s="23">
        <f>S19*S9*S16</f>
        <v/>
      </c>
      <c r="T26" s="23">
        <f>T19*T9*T16</f>
        <v/>
      </c>
      <c r="U26" s="23">
        <f>U19*U9*U16</f>
        <v/>
      </c>
      <c r="V26" s="23">
        <f>V19*V9*V16</f>
        <v/>
      </c>
    </row>
    <row r="27">
      <c r="A27" s="10" t="inlineStr">
        <is>
          <t>Cash</t>
        </is>
      </c>
      <c r="B27" s="18" t="n"/>
      <c r="C27" s="23">
        <f>C19*C10*C17</f>
        <v/>
      </c>
      <c r="D27" s="23">
        <f>D19*D10*D17</f>
        <v/>
      </c>
      <c r="E27" s="23">
        <f>E19*E10*E17</f>
        <v/>
      </c>
      <c r="F27" s="23">
        <f>F19*F10*F17</f>
        <v/>
      </c>
      <c r="G27" s="23">
        <f>G19*G10*G17</f>
        <v/>
      </c>
      <c r="H27" s="23">
        <f>H19*H10*H17</f>
        <v/>
      </c>
      <c r="I27" s="23">
        <f>I19*I10*I17</f>
        <v/>
      </c>
      <c r="J27" s="23">
        <f>J19*J10*J17</f>
        <v/>
      </c>
      <c r="K27" s="23">
        <f>K19*K10*K17</f>
        <v/>
      </c>
      <c r="L27" s="23">
        <f>L19*L10*L17</f>
        <v/>
      </c>
      <c r="M27" s="23">
        <f>M19*M10*M17</f>
        <v/>
      </c>
      <c r="N27" s="23">
        <f>N19*N10*N17</f>
        <v/>
      </c>
      <c r="O27" s="23">
        <f>O19*O10*O17</f>
        <v/>
      </c>
      <c r="P27" s="23">
        <f>P19*P10*P17</f>
        <v/>
      </c>
      <c r="Q27" s="23">
        <f>Q19*Q10*Q17</f>
        <v/>
      </c>
      <c r="R27" s="23">
        <f>R19*R10*R17</f>
        <v/>
      </c>
      <c r="S27" s="23">
        <f>S19*S10*S17</f>
        <v/>
      </c>
      <c r="T27" s="23">
        <f>T19*T10*T17</f>
        <v/>
      </c>
      <c r="U27" s="23">
        <f>U19*U10*U17</f>
        <v/>
      </c>
      <c r="V27" s="23">
        <f>V19*V10*V17</f>
        <v/>
      </c>
    </row>
    <row r="28">
      <c r="A28" s="20" t="inlineStr">
        <is>
          <t>Total Asset Income</t>
        </is>
      </c>
      <c r="B28" s="18" t="n"/>
      <c r="C28" s="24">
        <f>SUM(C23:C27)</f>
        <v/>
      </c>
      <c r="D28" s="24">
        <f>SUM(D23:D27)</f>
        <v/>
      </c>
      <c r="E28" s="24">
        <f>SUM(E23:E27)</f>
        <v/>
      </c>
      <c r="F28" s="24">
        <f>SUM(F23:F27)</f>
        <v/>
      </c>
      <c r="G28" s="24">
        <f>SUM(G23:G27)</f>
        <v/>
      </c>
      <c r="H28" s="24">
        <f>SUM(H23:H27)</f>
        <v/>
      </c>
      <c r="I28" s="24">
        <f>SUM(I23:I27)</f>
        <v/>
      </c>
      <c r="J28" s="24">
        <f>SUM(J23:J27)</f>
        <v/>
      </c>
      <c r="K28" s="24">
        <f>SUM(K23:K27)</f>
        <v/>
      </c>
      <c r="L28" s="24">
        <f>SUM(L23:L27)</f>
        <v/>
      </c>
      <c r="M28" s="24">
        <f>SUM(M23:M27)</f>
        <v/>
      </c>
      <c r="N28" s="24">
        <f>SUM(N23:N27)</f>
        <v/>
      </c>
      <c r="O28" s="24">
        <f>SUM(O23:O27)</f>
        <v/>
      </c>
      <c r="P28" s="24">
        <f>SUM(P23:P27)</f>
        <v/>
      </c>
      <c r="Q28" s="24">
        <f>SUM(Q23:Q27)</f>
        <v/>
      </c>
      <c r="R28" s="24">
        <f>SUM(R23:R27)</f>
        <v/>
      </c>
      <c r="S28" s="24">
        <f>SUM(S23:S27)</f>
        <v/>
      </c>
      <c r="T28" s="24">
        <f>SUM(T23:T27)</f>
        <v/>
      </c>
      <c r="U28" s="24">
        <f>SUM(U23:U27)</f>
        <v/>
      </c>
      <c r="V28" s="24">
        <f>SUM(V23:V27)</f>
        <v/>
      </c>
    </row>
    <row r="36">
      <c r="A36" s="25" t="inlineStr">
        <is>
          <t>TOTAL GROSS INCOME</t>
        </is>
      </c>
      <c r="B36" s="26" t="n"/>
      <c r="C36" s="27">
        <f>C28</f>
        <v/>
      </c>
      <c r="D36" s="27">
        <f>D28</f>
        <v/>
      </c>
      <c r="E36" s="27">
        <f>E28</f>
        <v/>
      </c>
      <c r="F36" s="27">
        <f>F28</f>
        <v/>
      </c>
      <c r="G36" s="27">
        <f>G28</f>
        <v/>
      </c>
      <c r="H36" s="27">
        <f>H28</f>
        <v/>
      </c>
      <c r="I36" s="27">
        <f>I28</f>
        <v/>
      </c>
      <c r="J36" s="27">
        <f>J28</f>
        <v/>
      </c>
      <c r="K36" s="27">
        <f>K28</f>
        <v/>
      </c>
      <c r="L36" s="27">
        <f>L28</f>
        <v/>
      </c>
      <c r="M36" s="27">
        <f>M28</f>
        <v/>
      </c>
      <c r="N36" s="27">
        <f>N28</f>
        <v/>
      </c>
      <c r="O36" s="27">
        <f>O28</f>
        <v/>
      </c>
      <c r="P36" s="27">
        <f>P28</f>
        <v/>
      </c>
      <c r="Q36" s="27">
        <f>Q28</f>
        <v/>
      </c>
      <c r="R36" s="27">
        <f>R28</f>
        <v/>
      </c>
      <c r="S36" s="27">
        <f>S28</f>
        <v/>
      </c>
      <c r="T36" s="27">
        <f>T28</f>
        <v/>
      </c>
      <c r="U36" s="27">
        <f>U28</f>
        <v/>
      </c>
      <c r="V36" s="27">
        <f>V28</f>
        <v/>
      </c>
    </row>
    <row r="38">
      <c r="A38" s="3" t="inlineStr">
        <is>
          <t>FEES &amp; EXPENSES</t>
        </is>
      </c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</row>
    <row r="39">
      <c r="A39" s="10" t="inlineStr">
        <is>
          <t>Management Fee</t>
        </is>
      </c>
      <c r="B39" s="18" t="n"/>
      <c r="C39" s="23">
        <f>C19*Summary!$C$6/10000</f>
        <v/>
      </c>
      <c r="D39" s="23">
        <f>D19*Summary!$C$6/10000</f>
        <v/>
      </c>
      <c r="E39" s="23">
        <f>E19*Summary!$C$6/10000</f>
        <v/>
      </c>
      <c r="F39" s="23">
        <f>F19*Summary!$C$6/10000</f>
        <v/>
      </c>
      <c r="G39" s="23">
        <f>G19*Summary!$C$6/10000</f>
        <v/>
      </c>
      <c r="H39" s="23">
        <f>H19*Summary!$C$6/10000</f>
        <v/>
      </c>
      <c r="I39" s="23">
        <f>I19*Summary!$C$6/10000</f>
        <v/>
      </c>
      <c r="J39" s="23">
        <f>J19*Summary!$C$6/10000</f>
        <v/>
      </c>
      <c r="K39" s="23">
        <f>K19*Summary!$C$6/10000</f>
        <v/>
      </c>
      <c r="L39" s="23">
        <f>L19*Summary!$C$6/10000</f>
        <v/>
      </c>
      <c r="M39" s="23">
        <f>M19*Summary!$C$6/10000</f>
        <v/>
      </c>
      <c r="N39" s="23">
        <f>N19*Summary!$C$6/10000</f>
        <v/>
      </c>
      <c r="O39" s="23">
        <f>O19*Summary!$C$6/10000</f>
        <v/>
      </c>
      <c r="P39" s="23">
        <f>P19*Summary!$C$6/10000</f>
        <v/>
      </c>
      <c r="Q39" s="23">
        <f>Q19*Summary!$C$6/10000</f>
        <v/>
      </c>
      <c r="R39" s="23">
        <f>R19*Summary!$C$6/10000</f>
        <v/>
      </c>
      <c r="S39" s="23">
        <f>S19*Summary!$C$6/10000</f>
        <v/>
      </c>
      <c r="T39" s="23">
        <f>T19*Summary!$C$6/10000</f>
        <v/>
      </c>
      <c r="U39" s="23">
        <f>U19*Summary!$C$6/10000</f>
        <v/>
      </c>
      <c r="V39" s="23">
        <f>V19*Summary!$C$6/10000</f>
        <v/>
      </c>
    </row>
    <row r="40">
      <c r="A40" s="10" t="inlineStr">
        <is>
          <t>Return Above Hurdle</t>
        </is>
      </c>
      <c r="B40" s="18" t="n"/>
      <c r="C40" s="23">
        <f>MAX(0,C36-C19*Summary!$C$8/10000)</f>
        <v/>
      </c>
      <c r="D40" s="23">
        <f>MAX(0,D36-D19*Summary!$C$8/10000)</f>
        <v/>
      </c>
      <c r="E40" s="23">
        <f>MAX(0,E36-E19*Summary!$C$8/10000)</f>
        <v/>
      </c>
      <c r="F40" s="23">
        <f>MAX(0,F36-F19*Summary!$C$8/10000)</f>
        <v/>
      </c>
      <c r="G40" s="23">
        <f>MAX(0,G36-G19*Summary!$C$8/10000)</f>
        <v/>
      </c>
      <c r="H40" s="23">
        <f>MAX(0,H36-H19*Summary!$C$8/10000)</f>
        <v/>
      </c>
      <c r="I40" s="23">
        <f>MAX(0,I36-I19*Summary!$C$8/10000)</f>
        <v/>
      </c>
      <c r="J40" s="23">
        <f>MAX(0,J36-J19*Summary!$C$8/10000)</f>
        <v/>
      </c>
      <c r="K40" s="23">
        <f>MAX(0,K36-K19*Summary!$C$8/10000)</f>
        <v/>
      </c>
      <c r="L40" s="23">
        <f>MAX(0,L36-L19*Summary!$C$8/10000)</f>
        <v/>
      </c>
      <c r="M40" s="23">
        <f>MAX(0,M36-M19*Summary!$C$8/10000)</f>
        <v/>
      </c>
      <c r="N40" s="23">
        <f>MAX(0,N36-N19*Summary!$C$8/10000)</f>
        <v/>
      </c>
      <c r="O40" s="23">
        <f>MAX(0,O36-O19*Summary!$C$8/10000)</f>
        <v/>
      </c>
      <c r="P40" s="23">
        <f>MAX(0,P36-P19*Summary!$C$8/10000)</f>
        <v/>
      </c>
      <c r="Q40" s="23">
        <f>MAX(0,Q36-Q19*Summary!$C$8/10000)</f>
        <v/>
      </c>
      <c r="R40" s="23">
        <f>MAX(0,R36-R19*Summary!$C$8/10000)</f>
        <v/>
      </c>
      <c r="S40" s="23">
        <f>MAX(0,S36-S19*Summary!$C$8/10000)</f>
        <v/>
      </c>
      <c r="T40" s="23">
        <f>MAX(0,T36-T19*Summary!$C$8/10000)</f>
        <v/>
      </c>
      <c r="U40" s="23">
        <f>MAX(0,U36-U19*Summary!$C$8/10000)</f>
        <v/>
      </c>
      <c r="V40" s="23">
        <f>MAX(0,V36-V19*Summary!$C$8/10000)</f>
        <v/>
      </c>
    </row>
    <row r="41">
      <c r="A41" s="10" t="inlineStr">
        <is>
          <t>Performance Fee</t>
        </is>
      </c>
      <c r="B41" s="18" t="n"/>
      <c r="C41" s="23">
        <f>C40*Summary!$C$7/10000</f>
        <v/>
      </c>
      <c r="D41" s="23">
        <f>D40*Summary!$C$7/10000</f>
        <v/>
      </c>
      <c r="E41" s="23">
        <f>E40*Summary!$C$7/10000</f>
        <v/>
      </c>
      <c r="F41" s="23">
        <f>F40*Summary!$C$7/10000</f>
        <v/>
      </c>
      <c r="G41" s="23">
        <f>G40*Summary!$C$7/10000</f>
        <v/>
      </c>
      <c r="H41" s="23">
        <f>H40*Summary!$C$7/10000</f>
        <v/>
      </c>
      <c r="I41" s="23">
        <f>I40*Summary!$C$7/10000</f>
        <v/>
      </c>
      <c r="J41" s="23">
        <f>J40*Summary!$C$7/10000</f>
        <v/>
      </c>
      <c r="K41" s="23">
        <f>K40*Summary!$C$7/10000</f>
        <v/>
      </c>
      <c r="L41" s="23">
        <f>L40*Summary!$C$7/10000</f>
        <v/>
      </c>
      <c r="M41" s="23">
        <f>M40*Summary!$C$7/10000</f>
        <v/>
      </c>
      <c r="N41" s="23">
        <f>N40*Summary!$C$7/10000</f>
        <v/>
      </c>
      <c r="O41" s="23">
        <f>O40*Summary!$C$7/10000</f>
        <v/>
      </c>
      <c r="P41" s="23">
        <f>P40*Summary!$C$7/10000</f>
        <v/>
      </c>
      <c r="Q41" s="23">
        <f>Q40*Summary!$C$7/10000</f>
        <v/>
      </c>
      <c r="R41" s="23">
        <f>R40*Summary!$C$7/10000</f>
        <v/>
      </c>
      <c r="S41" s="23">
        <f>S40*Summary!$C$7/10000</f>
        <v/>
      </c>
      <c r="T41" s="23">
        <f>T40*Summary!$C$7/10000</f>
        <v/>
      </c>
      <c r="U41" s="23">
        <f>U40*Summary!$C$7/10000</f>
        <v/>
      </c>
      <c r="V41" s="23">
        <f>V40*Summary!$C$7/10000</f>
        <v/>
      </c>
    </row>
    <row r="42">
      <c r="A42" s="10" t="inlineStr">
        <is>
          <t>Other Expenses</t>
        </is>
      </c>
      <c r="B42" s="18" t="n"/>
      <c r="C42" s="23">
        <f>C19*Summary!$C$9/10000</f>
        <v/>
      </c>
      <c r="D42" s="23">
        <f>D19*Summary!$C$9/10000</f>
        <v/>
      </c>
      <c r="E42" s="23">
        <f>E19*Summary!$C$9/10000</f>
        <v/>
      </c>
      <c r="F42" s="23">
        <f>F19*Summary!$C$9/10000</f>
        <v/>
      </c>
      <c r="G42" s="23">
        <f>G19*Summary!$C$9/10000</f>
        <v/>
      </c>
      <c r="H42" s="23">
        <f>H19*Summary!$C$9/10000</f>
        <v/>
      </c>
      <c r="I42" s="23">
        <f>I19*Summary!$C$9/10000</f>
        <v/>
      </c>
      <c r="J42" s="23">
        <f>J19*Summary!$C$9/10000</f>
        <v/>
      </c>
      <c r="K42" s="23">
        <f>K19*Summary!$C$9/10000</f>
        <v/>
      </c>
      <c r="L42" s="23">
        <f>L19*Summary!$C$9/10000</f>
        <v/>
      </c>
      <c r="M42" s="23">
        <f>M19*Summary!$C$9/10000</f>
        <v/>
      </c>
      <c r="N42" s="23">
        <f>N19*Summary!$C$9/10000</f>
        <v/>
      </c>
      <c r="O42" s="23">
        <f>O19*Summary!$C$9/10000</f>
        <v/>
      </c>
      <c r="P42" s="23">
        <f>P19*Summary!$C$9/10000</f>
        <v/>
      </c>
      <c r="Q42" s="23">
        <f>Q19*Summary!$C$9/10000</f>
        <v/>
      </c>
      <c r="R42" s="23">
        <f>R19*Summary!$C$9/10000</f>
        <v/>
      </c>
      <c r="S42" s="23">
        <f>S19*Summary!$C$9/10000</f>
        <v/>
      </c>
      <c r="T42" s="23">
        <f>T19*Summary!$C$9/10000</f>
        <v/>
      </c>
      <c r="U42" s="23">
        <f>U19*Summary!$C$9/10000</f>
        <v/>
      </c>
      <c r="V42" s="23">
        <f>V19*Summary!$C$9/10000</f>
        <v/>
      </c>
    </row>
    <row r="43">
      <c r="A43" s="20" t="inlineStr">
        <is>
          <t>Total Fees &amp; Expenses</t>
        </is>
      </c>
      <c r="B43" s="18" t="n"/>
      <c r="C43" s="24">
        <f>C39+C41+C42</f>
        <v/>
      </c>
      <c r="D43" s="24">
        <f>D39+D41+D42</f>
        <v/>
      </c>
      <c r="E43" s="24">
        <f>E39+E41+E42</f>
        <v/>
      </c>
      <c r="F43" s="24">
        <f>F39+F41+F42</f>
        <v/>
      </c>
      <c r="G43" s="24">
        <f>G39+G41+G42</f>
        <v/>
      </c>
      <c r="H43" s="24">
        <f>H39+H41+H42</f>
        <v/>
      </c>
      <c r="I43" s="24">
        <f>I39+I41+I42</f>
        <v/>
      </c>
      <c r="J43" s="24">
        <f>J39+J41+J42</f>
        <v/>
      </c>
      <c r="K43" s="24">
        <f>K39+K41+K42</f>
        <v/>
      </c>
      <c r="L43" s="24">
        <f>L39+L41+L42</f>
        <v/>
      </c>
      <c r="M43" s="24">
        <f>M39+M41+M42</f>
        <v/>
      </c>
      <c r="N43" s="24">
        <f>N39+N41+N42</f>
        <v/>
      </c>
      <c r="O43" s="24">
        <f>O39+O41+O42</f>
        <v/>
      </c>
      <c r="P43" s="24">
        <f>P39+P41+P42</f>
        <v/>
      </c>
      <c r="Q43" s="24">
        <f>Q39+Q41+Q42</f>
        <v/>
      </c>
      <c r="R43" s="24">
        <f>R39+R41+R42</f>
        <v/>
      </c>
      <c r="S43" s="24">
        <f>S39+S41+S42</f>
        <v/>
      </c>
      <c r="T43" s="24">
        <f>T39+T41+T42</f>
        <v/>
      </c>
      <c r="U43" s="24">
        <f>U39+U41+U42</f>
        <v/>
      </c>
      <c r="V43" s="24">
        <f>V39+V41+V42</f>
        <v/>
      </c>
    </row>
    <row r="45">
      <c r="A45" s="3" t="inlineStr">
        <is>
          <t>RETURNS</t>
        </is>
      </c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</row>
    <row r="46">
      <c r="A46" s="28" t="inlineStr">
        <is>
          <t>NET INCOME</t>
        </is>
      </c>
      <c r="B46" s="29" t="n"/>
      <c r="C46" s="30">
        <f>C36-C43</f>
        <v/>
      </c>
      <c r="D46" s="30">
        <f>D36-D43</f>
        <v/>
      </c>
      <c r="E46" s="30">
        <f>E36-E43</f>
        <v/>
      </c>
      <c r="F46" s="30">
        <f>F36-F43</f>
        <v/>
      </c>
      <c r="G46" s="30">
        <f>G36-G43</f>
        <v/>
      </c>
      <c r="H46" s="30">
        <f>H36-H43</f>
        <v/>
      </c>
      <c r="I46" s="30">
        <f>I36-I43</f>
        <v/>
      </c>
      <c r="J46" s="30">
        <f>J36-J43</f>
        <v/>
      </c>
      <c r="K46" s="30">
        <f>K36-K43</f>
        <v/>
      </c>
      <c r="L46" s="30">
        <f>L36-L43</f>
        <v/>
      </c>
      <c r="M46" s="30">
        <f>M36-M43</f>
        <v/>
      </c>
      <c r="N46" s="30">
        <f>N36-N43</f>
        <v/>
      </c>
      <c r="O46" s="30">
        <f>O36-O43</f>
        <v/>
      </c>
      <c r="P46" s="30">
        <f>P36-P43</f>
        <v/>
      </c>
      <c r="Q46" s="30">
        <f>Q36-Q43</f>
        <v/>
      </c>
      <c r="R46" s="30">
        <f>R36-R43</f>
        <v/>
      </c>
      <c r="S46" s="30">
        <f>S36-S43</f>
        <v/>
      </c>
      <c r="T46" s="30">
        <f>T36-T43</f>
        <v/>
      </c>
      <c r="U46" s="30">
        <f>U36-U43</f>
        <v/>
      </c>
      <c r="V46" s="30">
        <f>V36-V43</f>
        <v/>
      </c>
    </row>
    <row r="47">
      <c r="A47" s="28" t="inlineStr">
        <is>
          <t>NET YIELD (Return to LPs)</t>
        </is>
      </c>
      <c r="B47" s="29" t="n"/>
      <c r="C47" s="31">
        <f>IF(C19=0,0,C46/C19)</f>
        <v/>
      </c>
      <c r="D47" s="31">
        <f>IF(D19=0,0,D46/D19)</f>
        <v/>
      </c>
      <c r="E47" s="31">
        <f>IF(E19=0,0,E46/E19)</f>
        <v/>
      </c>
      <c r="F47" s="31">
        <f>IF(F19=0,0,F46/F19)</f>
        <v/>
      </c>
      <c r="G47" s="31">
        <f>IF(G19=0,0,G46/G19)</f>
        <v/>
      </c>
      <c r="H47" s="31">
        <f>IF(H19=0,0,H46/H19)</f>
        <v/>
      </c>
      <c r="I47" s="31">
        <f>IF(I19=0,0,I46/I19)</f>
        <v/>
      </c>
      <c r="J47" s="31">
        <f>IF(J19=0,0,J46/J19)</f>
        <v/>
      </c>
      <c r="K47" s="31">
        <f>IF(K19=0,0,K46/K19)</f>
        <v/>
      </c>
      <c r="L47" s="31">
        <f>IF(L19=0,0,L46/L19)</f>
        <v/>
      </c>
      <c r="M47" s="31">
        <f>IF(M19=0,0,M46/M19)</f>
        <v/>
      </c>
      <c r="N47" s="31">
        <f>IF(N19=0,0,N46/N19)</f>
        <v/>
      </c>
      <c r="O47" s="31">
        <f>IF(O19=0,0,O46/O19)</f>
        <v/>
      </c>
      <c r="P47" s="31">
        <f>IF(P19=0,0,P46/P19)</f>
        <v/>
      </c>
      <c r="Q47" s="31">
        <f>IF(Q19=0,0,Q46/Q19)</f>
        <v/>
      </c>
      <c r="R47" s="31">
        <f>IF(R19=0,0,R46/R19)</f>
        <v/>
      </c>
      <c r="S47" s="31">
        <f>IF(S19=0,0,S46/S19)</f>
        <v/>
      </c>
      <c r="T47" s="31">
        <f>IF(T19=0,0,T46/T19)</f>
        <v/>
      </c>
      <c r="U47" s="31">
        <f>IF(U19=0,0,U46/U19)</f>
        <v/>
      </c>
      <c r="V47" s="31">
        <f>IF(V19=0,0,V46/V19)</f>
        <v/>
      </c>
    </row>
    <row r="48">
      <c r="A48" s="32" t="inlineStr">
        <is>
          <t>ENDING AUM</t>
        </is>
      </c>
      <c r="B48" s="33" t="n"/>
      <c r="C48" s="34">
        <f>C19+C46</f>
        <v/>
      </c>
      <c r="D48" s="34">
        <f>D19+D46</f>
        <v/>
      </c>
      <c r="E48" s="34">
        <f>E19+E46</f>
        <v/>
      </c>
      <c r="F48" s="34">
        <f>F19+F46</f>
        <v/>
      </c>
      <c r="G48" s="34">
        <f>G19+G46</f>
        <v/>
      </c>
      <c r="H48" s="34">
        <f>H19+H46</f>
        <v/>
      </c>
      <c r="I48" s="34">
        <f>I19+I46</f>
        <v/>
      </c>
      <c r="J48" s="34">
        <f>J19+J46</f>
        <v/>
      </c>
      <c r="K48" s="34">
        <f>K19+K46</f>
        <v/>
      </c>
      <c r="L48" s="34">
        <f>L19+L46</f>
        <v/>
      </c>
      <c r="M48" s="34">
        <f>M19+M46</f>
        <v/>
      </c>
      <c r="N48" s="34">
        <f>N19+N46</f>
        <v/>
      </c>
      <c r="O48" s="34">
        <f>O19+O46</f>
        <v/>
      </c>
      <c r="P48" s="34">
        <f>P19+P46</f>
        <v/>
      </c>
      <c r="Q48" s="34">
        <f>Q19+Q46</f>
        <v/>
      </c>
      <c r="R48" s="34">
        <f>R19+R46</f>
        <v/>
      </c>
      <c r="S48" s="34">
        <f>S19+S46</f>
        <v/>
      </c>
      <c r="T48" s="34">
        <f>T19+T46</f>
        <v/>
      </c>
      <c r="U48" s="34">
        <f>U19+U46</f>
        <v/>
      </c>
      <c r="V48" s="34">
        <f>V19+V46</f>
        <v/>
      </c>
    </row>
  </sheetData>
  <mergeCells count="9">
    <mergeCell ref="A48:B48"/>
    <mergeCell ref="A1:V1"/>
    <mergeCell ref="A45:V45"/>
    <mergeCell ref="A47:B47"/>
    <mergeCell ref="A46:B46"/>
    <mergeCell ref="A36:B36"/>
    <mergeCell ref="A18:V18"/>
    <mergeCell ref="A3:V3"/>
    <mergeCell ref="A38:V38"/>
  </mergeCells>
  <conditionalFormatting sqref="C11">
    <cfRule type="cellIs" priority="1" operator="notEqual" dxfId="0">
      <formula>1</formula>
    </cfRule>
  </conditionalFormatting>
  <conditionalFormatting sqref="D11">
    <cfRule type="cellIs" priority="2" operator="notEqual" dxfId="0">
      <formula>1</formula>
    </cfRule>
  </conditionalFormatting>
  <conditionalFormatting sqref="E11">
    <cfRule type="cellIs" priority="3" operator="notEqual" dxfId="0">
      <formula>1</formula>
    </cfRule>
  </conditionalFormatting>
  <conditionalFormatting sqref="F11">
    <cfRule type="cellIs" priority="4" operator="notEqual" dxfId="0">
      <formula>1</formula>
    </cfRule>
  </conditionalFormatting>
  <conditionalFormatting sqref="G11">
    <cfRule type="cellIs" priority="5" operator="notEqual" dxfId="0">
      <formula>1</formula>
    </cfRule>
  </conditionalFormatting>
  <conditionalFormatting sqref="H11">
    <cfRule type="cellIs" priority="6" operator="notEqual" dxfId="0">
      <formula>1</formula>
    </cfRule>
  </conditionalFormatting>
  <conditionalFormatting sqref="I11">
    <cfRule type="cellIs" priority="7" operator="notEqual" dxfId="0">
      <formula>1</formula>
    </cfRule>
  </conditionalFormatting>
  <conditionalFormatting sqref="J11">
    <cfRule type="cellIs" priority="8" operator="notEqual" dxfId="0">
      <formula>1</formula>
    </cfRule>
  </conditionalFormatting>
  <conditionalFormatting sqref="K11">
    <cfRule type="cellIs" priority="9" operator="notEqual" dxfId="0">
      <formula>1</formula>
    </cfRule>
  </conditionalFormatting>
  <conditionalFormatting sqref="L11">
    <cfRule type="cellIs" priority="10" operator="notEqual" dxfId="0">
      <formula>1</formula>
    </cfRule>
  </conditionalFormatting>
  <conditionalFormatting sqref="M11">
    <cfRule type="cellIs" priority="11" operator="notEqual" dxfId="0">
      <formula>1</formula>
    </cfRule>
  </conditionalFormatting>
  <conditionalFormatting sqref="N11">
    <cfRule type="cellIs" priority="12" operator="notEqual" dxfId="0">
      <formula>1</formula>
    </cfRule>
  </conditionalFormatting>
  <conditionalFormatting sqref="O11">
    <cfRule type="cellIs" priority="13" operator="notEqual" dxfId="0">
      <formula>1</formula>
    </cfRule>
  </conditionalFormatting>
  <conditionalFormatting sqref="P11">
    <cfRule type="cellIs" priority="14" operator="notEqual" dxfId="0">
      <formula>1</formula>
    </cfRule>
  </conditionalFormatting>
  <conditionalFormatting sqref="Q11">
    <cfRule type="cellIs" priority="15" operator="notEqual" dxfId="0">
      <formula>1</formula>
    </cfRule>
  </conditionalFormatting>
  <conditionalFormatting sqref="R11">
    <cfRule type="cellIs" priority="16" operator="notEqual" dxfId="0">
      <formula>1</formula>
    </cfRule>
  </conditionalFormatting>
  <conditionalFormatting sqref="S11">
    <cfRule type="cellIs" priority="17" operator="notEqual" dxfId="0">
      <formula>1</formula>
    </cfRule>
  </conditionalFormatting>
  <conditionalFormatting sqref="T11">
    <cfRule type="cellIs" priority="18" operator="notEqual" dxfId="0">
      <formula>1</formula>
    </cfRule>
  </conditionalFormatting>
  <conditionalFormatting sqref="U11">
    <cfRule type="cellIs" priority="19" operator="notEqual" dxfId="0">
      <formula>1</formula>
    </cfRule>
  </conditionalFormatting>
  <conditionalFormatting sqref="V11">
    <cfRule type="cellIs" priority="20" operator="notEqual" dxfId="0">
      <formula>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2026-04-02T18:33:39Z</dcterms:created>
  <dcterms:modified xsi:type="dcterms:W3CDTF">2026-04-02T18:33:39Z</dcterms:modified>
</cp:coreProperties>
</file>