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rket Rates" sheetId="2" state="visible" r:id="rId2"/>
    <sheet name="Annual Mod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&quot; bps&quot;"/>
    <numFmt numFmtId="166" formatCode="$#,##0"/>
    <numFmt numFmtId="167" formatCode="0.00x"/>
  </numFmts>
  <fonts count="10">
    <font>
      <name val="Calibri"/>
      <family val="2"/>
      <color theme="1"/>
      <sz val="11"/>
      <scheme val="minor"/>
    </font>
    <font>
      <name val="Georgia"/>
      <b val="1"/>
      <color rgb="00FFFFFF"/>
      <sz val="14"/>
    </font>
    <font>
      <name val="Georgia"/>
      <b val="1"/>
      <color rgb="00FFFFFF"/>
      <sz val="11"/>
    </font>
    <font>
      <name val="Georgia"/>
      <b val="1"/>
      <color rgb="0000313C"/>
      <sz val="10"/>
    </font>
    <font>
      <name val="Georgia"/>
      <color rgb="00747476"/>
      <sz val="9"/>
    </font>
    <font>
      <name val="Georgia"/>
      <color rgb="0000313C"/>
      <sz val="10"/>
    </font>
    <font>
      <name val="Georgia"/>
      <color rgb="001A237E"/>
      <sz val="10"/>
    </font>
    <font>
      <name val="Georgia"/>
      <b val="1"/>
      <color rgb="00FFFFFF"/>
      <sz val="10"/>
    </font>
    <font>
      <name val="Georgia"/>
      <i val="1"/>
      <color rgb="00747476"/>
      <sz val="9"/>
    </font>
    <font>
      <name val="Georgia"/>
      <color rgb="001A237E"/>
      <sz val="9"/>
    </font>
  </fonts>
  <fills count="9">
    <fill>
      <patternFill/>
    </fill>
    <fill>
      <patternFill patternType="gray125"/>
    </fill>
    <fill>
      <patternFill patternType="solid">
        <fgColor rgb="0000313C"/>
        <bgColor rgb="0000313C"/>
      </patternFill>
    </fill>
    <fill>
      <patternFill patternType="solid">
        <fgColor rgb="00BABCBC"/>
        <bgColor rgb="00BABCBC"/>
      </patternFill>
    </fill>
    <fill>
      <patternFill patternType="solid">
        <fgColor rgb="00FFF3E0"/>
        <bgColor rgb="00FFF3E0"/>
      </patternFill>
    </fill>
    <fill>
      <patternFill patternType="solid">
        <fgColor rgb="00E8E8E8"/>
        <bgColor rgb="00E8E8E8"/>
      </patternFill>
    </fill>
    <fill>
      <patternFill patternType="solid">
        <fgColor rgb="00F0F1F1"/>
        <bgColor rgb="00F0F1F1"/>
      </patternFill>
    </fill>
    <fill>
      <patternFill patternType="solid">
        <fgColor rgb="0000AD97"/>
        <bgColor rgb="0000AD97"/>
      </patternFill>
    </fill>
    <fill>
      <patternFill patternType="solid">
        <fgColor rgb="00FF8D19"/>
        <bgColor rgb="00FF8D19"/>
      </patternFill>
    </fill>
  </fills>
  <borders count="6">
    <border>
      <left/>
      <right/>
      <top/>
      <bottom/>
      <diagonal/>
    </border>
    <border>
      <left style="thin">
        <color rgb="00747476"/>
      </left>
      <right style="thin">
        <color rgb="00747476"/>
      </right>
      <top style="thin">
        <color rgb="00747476"/>
      </top>
      <bottom style="thin">
        <color rgb="00747476"/>
      </bottom>
    </border>
    <border>
      <left style="thin">
        <color rgb="00747476"/>
      </left>
      <right style="thin">
        <color rgb="00747476"/>
      </right>
      <top style="thin">
        <color rgb="00747476"/>
      </top>
      <bottom style="medium">
        <color rgb="0000313C"/>
      </bottom>
    </border>
    <border>
      <left/>
      <right/>
      <top style="thin">
        <color rgb="00747476"/>
      </top>
      <bottom/>
      <diagonal/>
    </border>
    <border>
      <left/>
      <right style="thin">
        <color rgb="00747476"/>
      </right>
      <top style="thin">
        <color rgb="00747476"/>
      </top>
      <bottom/>
      <diagonal/>
    </border>
    <border>
      <left/>
      <right style="thin">
        <color rgb="00747476"/>
      </right>
      <top style="thin">
        <color rgb="00747476"/>
      </top>
      <bottom style="thin">
        <color rgb="00747476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5" pivotButton="0" quotePrefix="0" xfId="0"/>
    <xf numFmtId="166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pivotButton="0" quotePrefix="0" xfId="0"/>
    <xf numFmtId="0" fontId="5" fillId="0" borderId="1" applyAlignment="1" pivotButton="0" quotePrefix="0" xfId="0">
      <alignment horizontal="left" vertical="center" indent="1"/>
    </xf>
    <xf numFmtId="10" fontId="3" fillId="6" borderId="1" applyAlignment="1" pivotButton="0" quotePrefix="0" xfId="0">
      <alignment horizontal="right" vertical="center"/>
    </xf>
    <xf numFmtId="167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4" borderId="1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10" fontId="6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10" fontId="3" fillId="5" borderId="2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6" fontId="3" fillId="5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indent="2"/>
    </xf>
    <xf numFmtId="0" fontId="7" fillId="7" borderId="1" applyAlignment="1" pivotButton="0" quotePrefix="0" xfId="0">
      <alignment horizontal="left" vertical="center"/>
    </xf>
    <xf numFmtId="0" fontId="0" fillId="7" borderId="1" pivotButton="0" quotePrefix="0" xfId="0"/>
    <xf numFmtId="166" fontId="7" fillId="7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7" fillId="2" borderId="1" applyAlignment="1" pivotButton="0" quotePrefix="0" xfId="0">
      <alignment horizontal="right" vertical="center"/>
    </xf>
    <xf numFmtId="10" fontId="7" fillId="2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0" fillId="8" borderId="1" pivotButton="0" quotePrefix="0" xfId="0"/>
    <xf numFmtId="166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Georgia"/>
        <b val="1"/>
        <color rgb="00B71C1C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13C"/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Nuveen Housing LP Financial Model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Fund Parameters</t>
        </is>
      </c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Initial AUM</t>
        </is>
      </c>
      <c r="B5" s="5" t="n"/>
      <c r="C5" s="6" t="n">
        <v>500000000</v>
      </c>
    </row>
    <row r="6">
      <c r="A6" s="4" t="inlineStr">
        <is>
          <t>Management Fee</t>
        </is>
      </c>
      <c r="B6" s="5" t="n"/>
      <c r="C6" s="7" t="n">
        <v>50</v>
      </c>
    </row>
    <row r="7">
      <c r="A7" s="4" t="inlineStr">
        <is>
          <t>Performance Fee (% of excess return)</t>
        </is>
      </c>
      <c r="B7" s="5" t="n"/>
      <c r="C7" s="7" t="n">
        <v>2000</v>
      </c>
    </row>
    <row r="8">
      <c r="A8" s="4" t="inlineStr">
        <is>
          <t>Hurdle Rate</t>
        </is>
      </c>
      <c r="B8" s="5" t="n"/>
      <c r="C8" s="7" t="n">
        <v>400</v>
      </c>
    </row>
    <row r="9">
      <c r="A9" s="4" t="inlineStr">
        <is>
          <t>Other Expenses</t>
        </is>
      </c>
      <c r="B9" s="5" t="n"/>
      <c r="C9" s="7" t="n">
        <v>15</v>
      </c>
    </row>
    <row r="13">
      <c r="A13" s="3" t="inlineStr">
        <is>
          <t>Summary Statistics</t>
        </is>
      </c>
      <c r="B13" s="3" t="n"/>
      <c r="C13" s="3" t="n"/>
      <c r="D13" s="3" t="n"/>
      <c r="E13" s="3" t="n"/>
      <c r="F13" s="3" t="n"/>
      <c r="G13" s="3" t="n"/>
      <c r="H13" s="3" t="n"/>
    </row>
    <row r="14">
      <c r="A14" s="8" t="inlineStr">
        <is>
          <t>Return Metrics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10" t="inlineStr">
        <is>
          <t>Net IRR (Avg Annual Net Yield)</t>
        </is>
      </c>
      <c r="C15" s="11">
        <f>AVERAGE('Annual Model'!C86,'Annual Model'!D86,'Annual Model'!E86,'Annual Model'!F86,'Annual Model'!G86,'Annual Model'!H86,'Annual Model'!I86,'Annual Model'!J86,'Annual Model'!K86,'Annual Model'!L86,'Annual Model'!M86,'Annual Model'!N86,'Annual Model'!O86,'Annual Model'!P86,'Annual Model'!Q86,'Annual Model'!R86,'Annual Model'!S86,'Annual Model'!T86,'Annual Model'!U86,'Annual Model'!V86)</f>
        <v/>
      </c>
    </row>
    <row r="16">
      <c r="A16" s="10" t="inlineStr">
        <is>
          <t>Gross IRR (Avg Annual Gross Yield)</t>
        </is>
      </c>
      <c r="C16" s="11">
        <f>AVERAGE('Annual Model'!C33,'Annual Model'!D33,'Annual Model'!E33,'Annual Model'!F33,'Annual Model'!G33,'Annual Model'!H33,'Annual Model'!I33,'Annual Model'!J33,'Annual Model'!K33,'Annual Model'!L33,'Annual Model'!M33,'Annual Model'!N33,'Annual Model'!O33,'Annual Model'!P33,'Annual Model'!Q33,'Annual Model'!R33,'Annual Model'!S33,'Annual Model'!T33,'Annual Model'!U33,'Annual Model'!V33)</f>
        <v/>
      </c>
    </row>
    <row r="17">
      <c r="A17" s="10" t="inlineStr">
        <is>
          <t>MOIC (Multiple on Invested Capital)</t>
        </is>
      </c>
      <c r="C17" s="12">
        <f>'Annual Model'!V87/Summary!$C$5</f>
        <v/>
      </c>
    </row>
    <row r="18">
      <c r="A18" s="10" t="inlineStr">
        <is>
          <t>DPI (Distributions to Paid-In)</t>
        </is>
      </c>
      <c r="C18" s="12">
        <f>('Annual Model'!C85+'Annual Model'!D85+'Annual Model'!E85+'Annual Model'!F85+'Annual Model'!G85+'Annual Model'!H85+'Annual Model'!I85+'Annual Model'!J85+'Annual Model'!K85+'Annual Model'!L85+'Annual Model'!M85+'Annual Model'!N85+'Annual Model'!O85+'Annual Model'!P85+'Annual Model'!Q85+'Annual Model'!R85+'Annual Model'!S85+'Annual Model'!T85+'Annual Model'!U85+'Annual Model'!V85)/Summary!$C$5</f>
        <v/>
      </c>
    </row>
    <row r="19">
      <c r="A19" s="10" t="inlineStr">
        <is>
          <t>Total Value to Paid-In (TVPI)</t>
        </is>
      </c>
      <c r="C19" s="12">
        <f>('Annual Model'!V87+'Annual Model'!C85+'Annual Model'!D85+'Annual Model'!E85+'Annual Model'!F85+'Annual Model'!G85+'Annual Model'!H85+'Annual Model'!I85+'Annual Model'!J85+'Annual Model'!K85+'Annual Model'!L85+'Annual Model'!M85+'Annual Model'!N85+'Annual Model'!O85+'Annual Model'!P85+'Annual Model'!Q85+'Annual Model'!R85+'Annual Model'!S85+'Annual Model'!T85+'Annual Model'!U85+'Annual Model'!V85)/Summary!$C$5</f>
        <v/>
      </c>
    </row>
    <row r="21">
      <c r="A21" s="8" t="inlineStr">
        <is>
          <t>Capital Metrics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10" t="inlineStr">
        <is>
          <t>Initial Committed Capital</t>
        </is>
      </c>
      <c r="C22" s="13">
        <f>Summary!$C$5</f>
        <v/>
      </c>
    </row>
    <row r="23">
      <c r="A23" s="10" t="inlineStr">
        <is>
          <t>Ending AUM (Year 20)</t>
        </is>
      </c>
      <c r="C23" s="13">
        <f>'Annual Model'!V87</f>
        <v/>
      </c>
    </row>
    <row r="24">
      <c r="A24" s="10" t="inlineStr">
        <is>
          <t>Total AUM Growth</t>
        </is>
      </c>
      <c r="C24" s="11">
        <f>'Annual Model'!V87/Summary!$C$5-1</f>
        <v/>
      </c>
    </row>
    <row r="25">
      <c r="A25" s="10" t="inlineStr">
        <is>
          <t>Total Cumulative Net Income</t>
        </is>
      </c>
      <c r="C25" s="13">
        <f>'Annual Model'!C85+'Annual Model'!D85+'Annual Model'!E85+'Annual Model'!F85+'Annual Model'!G85+'Annual Model'!H85+'Annual Model'!I85+'Annual Model'!J85+'Annual Model'!K85+'Annual Model'!L85+'Annual Model'!M85+'Annual Model'!N85+'Annual Model'!O85+'Annual Model'!P85+'Annual Model'!Q85+'Annual Model'!R85+'Annual Model'!S85+'Annual Model'!T85+'Annual Model'!U85+'Annual Model'!V85</f>
        <v/>
      </c>
    </row>
    <row r="26">
      <c r="A26" s="10" t="inlineStr">
        <is>
          <t>Total Cumulative Gross Income</t>
        </is>
      </c>
      <c r="C26" s="13">
        <f>'Annual Model'!C75+'Annual Model'!D75+'Annual Model'!E75+'Annual Model'!F75+'Annual Model'!G75+'Annual Model'!H75+'Annual Model'!I75+'Annual Model'!J75+'Annual Model'!K75+'Annual Model'!L75+'Annual Model'!M75+'Annual Model'!N75+'Annual Model'!O75+'Annual Model'!P75+'Annual Model'!Q75+'Annual Model'!R75+'Annual Model'!S75+'Annual Model'!T75+'Annual Model'!U75+'Annual Model'!V75</f>
        <v/>
      </c>
    </row>
    <row r="27">
      <c r="A27" s="10" t="inlineStr">
        <is>
          <t>Peak AUM</t>
        </is>
      </c>
      <c r="C27" s="13">
        <f>MAX('Annual Model'!C87,'Annual Model'!D87,'Annual Model'!E87,'Annual Model'!F87,'Annual Model'!G87,'Annual Model'!H87,'Annual Model'!I87,'Annual Model'!J87,'Annual Model'!K87,'Annual Model'!L87,'Annual Model'!M87,'Annual Model'!N87,'Annual Model'!O87,'Annual Model'!P87,'Annual Model'!Q87,'Annual Model'!R87,'Annual Model'!S87,'Annual Model'!T87,'Annual Model'!U87,'Annual Model'!V87)</f>
        <v/>
      </c>
    </row>
    <row r="29">
      <c r="A29" s="8" t="inlineStr">
        <is>
          <t>Fee &amp; Expense Metrics</t>
        </is>
      </c>
      <c r="B29" s="9" t="n"/>
      <c r="C29" s="9" t="n"/>
      <c r="D29" s="9" t="n"/>
      <c r="E29" s="9" t="n"/>
      <c r="F29" s="9" t="n"/>
      <c r="G29" s="9" t="n"/>
      <c r="H29" s="9" t="n"/>
    </row>
    <row r="30">
      <c r="A30" s="10" t="inlineStr">
        <is>
          <t>Total Management Fees</t>
        </is>
      </c>
      <c r="C30" s="13">
        <f>'Annual Model'!C78+'Annual Model'!D78+'Annual Model'!E78+'Annual Model'!F78+'Annual Model'!G78+'Annual Model'!H78+'Annual Model'!I78+'Annual Model'!J78+'Annual Model'!K78+'Annual Model'!L78+'Annual Model'!M78+'Annual Model'!N78+'Annual Model'!O78+'Annual Model'!P78+'Annual Model'!Q78+'Annual Model'!R78+'Annual Model'!S78+'Annual Model'!T78+'Annual Model'!U78+'Annual Model'!V78</f>
        <v/>
      </c>
    </row>
    <row r="31">
      <c r="A31" s="10" t="inlineStr">
        <is>
          <t>Total Performance Fees</t>
        </is>
      </c>
      <c r="C31" s="13">
        <f>'Annual Model'!C80+'Annual Model'!D80+'Annual Model'!E80+'Annual Model'!F80+'Annual Model'!G80+'Annual Model'!H80+'Annual Model'!I80+'Annual Model'!J80+'Annual Model'!K80+'Annual Model'!L80+'Annual Model'!M80+'Annual Model'!N80+'Annual Model'!O80+'Annual Model'!P80+'Annual Model'!Q80+'Annual Model'!R80+'Annual Model'!S80+'Annual Model'!T80+'Annual Model'!U80+'Annual Model'!V80</f>
        <v/>
      </c>
    </row>
    <row r="32">
      <c r="A32" s="10" t="inlineStr">
        <is>
          <t>Total Other Expenses</t>
        </is>
      </c>
      <c r="C32" s="13">
        <f>'Annual Model'!C81+'Annual Model'!D81+'Annual Model'!E81+'Annual Model'!F81+'Annual Model'!G81+'Annual Model'!H81+'Annual Model'!I81+'Annual Model'!J81+'Annual Model'!K81+'Annual Model'!L81+'Annual Model'!M81+'Annual Model'!N81+'Annual Model'!O81+'Annual Model'!P81+'Annual Model'!Q81+'Annual Model'!R81+'Annual Model'!S81+'Annual Model'!T81+'Annual Model'!U81+'Annual Model'!V81</f>
        <v/>
      </c>
    </row>
    <row r="33">
      <c r="A33" s="10" t="inlineStr">
        <is>
          <t>Total All-In Fees &amp; Expenses</t>
        </is>
      </c>
      <c r="C33" s="13">
        <f>'Annual Model'!C82+'Annual Model'!D82+'Annual Model'!E82+'Annual Model'!F82+'Annual Model'!G82+'Annual Model'!H82+'Annual Model'!I82+'Annual Model'!J82+'Annual Model'!K82+'Annual Model'!L82+'Annual Model'!M82+'Annual Model'!N82+'Annual Model'!O82+'Annual Model'!P82+'Annual Model'!Q82+'Annual Model'!R82+'Annual Model'!S82+'Annual Model'!T82+'Annual Model'!U82+'Annual Model'!V82</f>
        <v/>
      </c>
    </row>
    <row r="34">
      <c r="A34" s="10" t="inlineStr">
        <is>
          <t>Fee Drag (Fees / Gross Income)</t>
        </is>
      </c>
      <c r="C34" s="11">
        <f>IF(C26=0,0,C33/C26)</f>
        <v/>
      </c>
    </row>
    <row r="35">
      <c r="A35" s="10" t="inlineStr">
        <is>
          <t>Net-to-Gross Ratio</t>
        </is>
      </c>
      <c r="C35" s="11">
        <f>IF(C26=0,0,C25/C26)</f>
        <v/>
      </c>
    </row>
    <row r="37">
      <c r="A37" s="8" t="inlineStr">
        <is>
          <t>Yield &amp; Risk Metrics</t>
        </is>
      </c>
      <c r="B37" s="9" t="n"/>
      <c r="C37" s="9" t="n"/>
      <c r="D37" s="9" t="n"/>
      <c r="E37" s="9" t="n"/>
      <c r="F37" s="9" t="n"/>
      <c r="G37" s="9" t="n"/>
      <c r="H37" s="9" t="n"/>
    </row>
    <row r="38">
      <c r="A38" s="10" t="inlineStr">
        <is>
          <t>Year 1 Net Yield</t>
        </is>
      </c>
      <c r="C38" s="11">
        <f>'Annual Model'!C86</f>
        <v/>
      </c>
    </row>
    <row r="39">
      <c r="A39" s="10" t="inlineStr">
        <is>
          <t>Year 20 Net Yield</t>
        </is>
      </c>
      <c r="C39" s="11">
        <f>'Annual Model'!V86</f>
        <v/>
      </c>
    </row>
    <row r="40">
      <c r="A40" s="10" t="inlineStr">
        <is>
          <t>Best Year Net Yield</t>
        </is>
      </c>
      <c r="C40" s="11">
        <f>MAX('Annual Model'!C86,'Annual Model'!D86,'Annual Model'!E86,'Annual Model'!F86,'Annual Model'!G86,'Annual Model'!H86,'Annual Model'!I86,'Annual Model'!J86,'Annual Model'!K86,'Annual Model'!L86,'Annual Model'!M86,'Annual Model'!N86,'Annual Model'!O86,'Annual Model'!P86,'Annual Model'!Q86,'Annual Model'!R86,'Annual Model'!S86,'Annual Model'!T86,'Annual Model'!U86,'Annual Model'!V86)</f>
        <v/>
      </c>
    </row>
    <row r="41">
      <c r="A41" s="10" t="inlineStr">
        <is>
          <t>Worst Year Net Yield</t>
        </is>
      </c>
      <c r="C41" s="11">
        <f>MIN('Annual Model'!C86,'Annual Model'!D86,'Annual Model'!E86,'Annual Model'!F86,'Annual Model'!G86,'Annual Model'!H86,'Annual Model'!I86,'Annual Model'!J86,'Annual Model'!K86,'Annual Model'!L86,'Annual Model'!M86,'Annual Model'!N86,'Annual Model'!O86,'Annual Model'!P86,'Annual Model'!Q86,'Annual Model'!R86,'Annual Model'!S86,'Annual Model'!T86,'Annual Model'!U86,'Annual Model'!V86)</f>
        <v/>
      </c>
    </row>
    <row r="42">
      <c r="A42" s="10" t="inlineStr">
        <is>
          <t>Year 1 Gross Yield</t>
        </is>
      </c>
      <c r="C42" s="11">
        <f>'Annual Model'!C33</f>
        <v/>
      </c>
    </row>
    <row r="43">
      <c r="A43" s="10" t="inlineStr">
        <is>
          <t>Gross-to-Net Spread (Avg)</t>
        </is>
      </c>
      <c r="C43" s="11">
        <f>C16-C15</f>
        <v/>
      </c>
    </row>
    <row r="45">
      <c r="A45" s="8" t="inlineStr">
        <is>
          <t>Leverage &amp; Securitization Metrics</t>
        </is>
      </c>
      <c r="B45" s="9" t="n"/>
      <c r="C45" s="9" t="n"/>
      <c r="D45" s="9" t="n"/>
      <c r="E45" s="9" t="n"/>
      <c r="F45" s="9" t="n"/>
      <c r="G45" s="9" t="n"/>
      <c r="H45" s="9" t="n"/>
    </row>
    <row r="46">
      <c r="A46" s="10" t="inlineStr">
        <is>
          <t>Total Leveraged AUM (Year 1)</t>
        </is>
      </c>
      <c r="C46" s="13">
        <f>'Annual Model'!C45</f>
        <v/>
      </c>
    </row>
    <row r="47">
      <c r="A47" s="10" t="inlineStr">
        <is>
          <t>Leverage Ratio (Year 1)</t>
        </is>
      </c>
      <c r="C47" s="11">
        <f>IF('Annual Model'!C32=0,0,'Annual Model'!C45/'Annual Model'!C32)</f>
        <v/>
      </c>
    </row>
    <row r="48">
      <c r="A48" s="10" t="inlineStr">
        <is>
          <t>Cumulative Net Leverage Income</t>
        </is>
      </c>
      <c r="C48" s="13">
        <f>'Annual Model'!C52+'Annual Model'!D52+'Annual Model'!E52+'Annual Model'!F52+'Annual Model'!G52+'Annual Model'!H52+'Annual Model'!I52+'Annual Model'!J52+'Annual Model'!K52+'Annual Model'!L52+'Annual Model'!M52+'Annual Model'!N52+'Annual Model'!O52+'Annual Model'!P52+'Annual Model'!Q52+'Annual Model'!R52+'Annual Model'!S52+'Annual Model'!T52+'Annual Model'!U52+'Annual Model'!V52</f>
        <v/>
      </c>
    </row>
    <row r="49">
      <c r="A49" s="10" t="inlineStr">
        <is>
          <t>Cumulative Net Securitization Income</t>
        </is>
      </c>
      <c r="C49" s="13">
        <f>'Annual Model'!C73+'Annual Model'!D73+'Annual Model'!E73+'Annual Model'!F73+'Annual Model'!G73+'Annual Model'!H73+'Annual Model'!I73+'Annual Model'!J73+'Annual Model'!K73+'Annual Model'!L73+'Annual Model'!M73+'Annual Model'!N73+'Annual Model'!O73+'Annual Model'!P73+'Annual Model'!Q73+'Annual Model'!R73+'Annual Model'!S73+'Annual Model'!T73+'Annual Model'!U73+'Annual Model'!V73</f>
        <v/>
      </c>
    </row>
    <row r="50">
      <c r="A50" s="10" t="inlineStr">
        <is>
          <t>Total Leverage + Securitization Income</t>
        </is>
      </c>
      <c r="C50" s="13">
        <f>C48+C49</f>
        <v/>
      </c>
    </row>
    <row r="53">
      <c r="A53" s="14" t="inlineStr">
        <is>
          <t>Input cells are highlighted in orange. Modify inputs to update the model.</t>
        </is>
      </c>
      <c r="E53" s="15">
        <f> Input</f>
        <v/>
      </c>
    </row>
  </sheetData>
  <mergeCells count="37">
    <mergeCell ref="A48:B48"/>
    <mergeCell ref="A24:B24"/>
    <mergeCell ref="A30:B30"/>
    <mergeCell ref="A15:B15"/>
    <mergeCell ref="A53:D53"/>
    <mergeCell ref="A49:B49"/>
    <mergeCell ref="A1:H1"/>
    <mergeCell ref="A6:B6"/>
    <mergeCell ref="A16:B16"/>
    <mergeCell ref="A7:B7"/>
    <mergeCell ref="A25:B25"/>
    <mergeCell ref="A41:B41"/>
    <mergeCell ref="A46:B46"/>
    <mergeCell ref="A18:B18"/>
    <mergeCell ref="A27:B27"/>
    <mergeCell ref="A50:B50"/>
    <mergeCell ref="A26:B26"/>
    <mergeCell ref="A3:H3"/>
    <mergeCell ref="A33:B33"/>
    <mergeCell ref="A47:B47"/>
    <mergeCell ref="A5:B5"/>
    <mergeCell ref="A42:B42"/>
    <mergeCell ref="A32:B32"/>
    <mergeCell ref="A23:B23"/>
    <mergeCell ref="A17:B17"/>
    <mergeCell ref="A8:B8"/>
    <mergeCell ref="A22:B22"/>
    <mergeCell ref="A35:B35"/>
    <mergeCell ref="A38:B38"/>
    <mergeCell ref="A43:B43"/>
    <mergeCell ref="A19:B19"/>
    <mergeCell ref="A13:H13"/>
    <mergeCell ref="A40:B40"/>
    <mergeCell ref="A9:B9"/>
    <mergeCell ref="A31:B31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3D62E"/>
    <outlinePr summaryBelow="1" summaryRight="1"/>
    <pageSetUpPr/>
  </sheetPr>
  <dimension ref="A1:V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Market Rate Assumptions (Bloomberg)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3">
      <c r="A3" s="3" t="inlineStr">
        <is>
          <t>BENCHMARK RATES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16" t="n"/>
      <c r="B4" s="16" t="n"/>
      <c r="C4" s="17" t="inlineStr">
        <is>
          <t>Year 1</t>
        </is>
      </c>
      <c r="D4" s="17" t="inlineStr">
        <is>
          <t>Year 2</t>
        </is>
      </c>
      <c r="E4" s="17" t="inlineStr">
        <is>
          <t>Year 3</t>
        </is>
      </c>
      <c r="F4" s="17" t="inlineStr">
        <is>
          <t>Year 4</t>
        </is>
      </c>
      <c r="G4" s="17" t="inlineStr">
        <is>
          <t>Year 5</t>
        </is>
      </c>
      <c r="H4" s="17" t="inlineStr">
        <is>
          <t>Year 6</t>
        </is>
      </c>
      <c r="I4" s="17" t="inlineStr">
        <is>
          <t>Year 7</t>
        </is>
      </c>
      <c r="J4" s="17" t="inlineStr">
        <is>
          <t>Year 8</t>
        </is>
      </c>
      <c r="K4" s="17" t="inlineStr">
        <is>
          <t>Year 9</t>
        </is>
      </c>
      <c r="L4" s="17" t="inlineStr">
        <is>
          <t>Year 10</t>
        </is>
      </c>
      <c r="M4" s="17" t="inlineStr">
        <is>
          <t>Year 11</t>
        </is>
      </c>
      <c r="N4" s="17" t="inlineStr">
        <is>
          <t>Year 12</t>
        </is>
      </c>
      <c r="O4" s="17" t="inlineStr">
        <is>
          <t>Year 13</t>
        </is>
      </c>
      <c r="P4" s="17" t="inlineStr">
        <is>
          <t>Year 14</t>
        </is>
      </c>
      <c r="Q4" s="17" t="inlineStr">
        <is>
          <t>Year 15</t>
        </is>
      </c>
      <c r="R4" s="17" t="inlineStr">
        <is>
          <t>Year 16</t>
        </is>
      </c>
      <c r="S4" s="17" t="inlineStr">
        <is>
          <t>Year 17</t>
        </is>
      </c>
      <c r="T4" s="17" t="inlineStr">
        <is>
          <t>Year 18</t>
        </is>
      </c>
      <c r="U4" s="17" t="inlineStr">
        <is>
          <t>Year 19</t>
        </is>
      </c>
      <c r="V4" s="17" t="inlineStr">
        <is>
          <t>Year 20</t>
        </is>
      </c>
    </row>
    <row r="5">
      <c r="A5" s="10" t="inlineStr">
        <is>
          <t>SOFR (Secured Overnight Financing Rate)</t>
        </is>
      </c>
      <c r="B5" s="18" t="inlineStr">
        <is>
          <t>%</t>
        </is>
      </c>
      <c r="C5" s="19" t="n">
        <v>0.043</v>
      </c>
      <c r="D5" s="19" t="n">
        <v>0.0415</v>
      </c>
      <c r="E5" s="19" t="n">
        <v>0.04</v>
      </c>
      <c r="F5" s="19" t="n">
        <v>0.0385</v>
      </c>
      <c r="G5" s="19" t="n">
        <v>0.037</v>
      </c>
      <c r="H5" s="19" t="n">
        <v>0.0355</v>
      </c>
      <c r="I5" s="19" t="n">
        <v>0.0345</v>
      </c>
      <c r="J5" s="19" t="n">
        <v>0.0335</v>
      </c>
      <c r="K5" s="19" t="n">
        <v>0.0325</v>
      </c>
      <c r="L5" s="19" t="n">
        <v>0.032</v>
      </c>
      <c r="M5" s="19" t="n">
        <v>0.0315</v>
      </c>
      <c r="N5" s="19" t="n">
        <v>0.031</v>
      </c>
      <c r="O5" s="19" t="n">
        <v>0.0308</v>
      </c>
      <c r="P5" s="19" t="n">
        <v>0.0305</v>
      </c>
      <c r="Q5" s="19" t="n">
        <v>0.0303</v>
      </c>
      <c r="R5" s="19" t="n">
        <v>0.03</v>
      </c>
      <c r="S5" s="19" t="n">
        <v>0.03</v>
      </c>
      <c r="T5" s="19" t="n">
        <v>0.03</v>
      </c>
      <c r="U5" s="19" t="n">
        <v>0.03</v>
      </c>
      <c r="V5" s="19" t="n">
        <v>0.03</v>
      </c>
    </row>
    <row r="6">
      <c r="A6" s="10" t="inlineStr">
        <is>
          <t>SIFMA (Municipal Swap Index)</t>
        </is>
      </c>
      <c r="B6" s="18" t="inlineStr">
        <is>
          <t>%</t>
        </is>
      </c>
      <c r="C6" s="19" t="n">
        <v>0.035</v>
      </c>
      <c r="D6" s="19" t="n">
        <v>0.034</v>
      </c>
      <c r="E6" s="19" t="n">
        <v>0.033</v>
      </c>
      <c r="F6" s="19" t="n">
        <v>0.032</v>
      </c>
      <c r="G6" s="19" t="n">
        <v>0.031</v>
      </c>
      <c r="H6" s="19" t="n">
        <v>0.03</v>
      </c>
      <c r="I6" s="19" t="n">
        <v>0.0293</v>
      </c>
      <c r="J6" s="19" t="n">
        <v>0.0285</v>
      </c>
      <c r="K6" s="19" t="n">
        <v>0.028</v>
      </c>
      <c r="L6" s="19" t="n">
        <v>0.0275</v>
      </c>
      <c r="M6" s="19" t="n">
        <v>0.027</v>
      </c>
      <c r="N6" s="19" t="n">
        <v>0.0268</v>
      </c>
      <c r="O6" s="19" t="n">
        <v>0.0265</v>
      </c>
      <c r="P6" s="19" t="n">
        <v>0.0263</v>
      </c>
      <c r="Q6" s="19" t="n">
        <v>0.026</v>
      </c>
      <c r="R6" s="19" t="n">
        <v>0.0258</v>
      </c>
      <c r="S6" s="19" t="n">
        <v>0.0255</v>
      </c>
      <c r="T6" s="19" t="n">
        <v>0.0253</v>
      </c>
      <c r="U6" s="19" t="n">
        <v>0.025</v>
      </c>
      <c r="V6" s="19" t="n">
        <v>0.025</v>
      </c>
    </row>
    <row r="8">
      <c r="A8" s="3" t="inlineStr">
        <is>
          <t>SPREAD ASSUMPTIONS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>
      <c r="A9" s="10" t="inlineStr">
        <is>
          <t>Repo Spread over SOFR</t>
        </is>
      </c>
      <c r="B9" s="18" t="inlineStr">
        <is>
          <t>bps</t>
        </is>
      </c>
      <c r="C9" s="7" t="n">
        <v>25</v>
      </c>
      <c r="D9" s="7" t="n">
        <v>25</v>
      </c>
      <c r="E9" s="7" t="n">
        <v>25</v>
      </c>
      <c r="F9" s="7" t="n">
        <v>25</v>
      </c>
      <c r="G9" s="7" t="n">
        <v>25</v>
      </c>
      <c r="H9" s="7" t="n">
        <v>25</v>
      </c>
      <c r="I9" s="7" t="n">
        <v>25</v>
      </c>
      <c r="J9" s="7" t="n">
        <v>25</v>
      </c>
      <c r="K9" s="7" t="n">
        <v>25</v>
      </c>
      <c r="L9" s="7" t="n">
        <v>25</v>
      </c>
      <c r="M9" s="7" t="n">
        <v>25</v>
      </c>
      <c r="N9" s="7" t="n">
        <v>25</v>
      </c>
      <c r="O9" s="7" t="n">
        <v>25</v>
      </c>
      <c r="P9" s="7" t="n">
        <v>25</v>
      </c>
      <c r="Q9" s="7" t="n">
        <v>25</v>
      </c>
      <c r="R9" s="7" t="n">
        <v>25</v>
      </c>
      <c r="S9" s="7" t="n">
        <v>25</v>
      </c>
      <c r="T9" s="7" t="n">
        <v>25</v>
      </c>
      <c r="U9" s="7" t="n">
        <v>25</v>
      </c>
      <c r="V9" s="7" t="n">
        <v>25</v>
      </c>
    </row>
    <row r="10">
      <c r="A10" s="10" t="inlineStr">
        <is>
          <t>TOB Spread over SIFMA</t>
        </is>
      </c>
      <c r="B10" s="18" t="inlineStr">
        <is>
          <t>bps</t>
        </is>
      </c>
      <c r="C10" s="7" t="n">
        <v>15</v>
      </c>
      <c r="D10" s="7" t="n">
        <v>15</v>
      </c>
      <c r="E10" s="7" t="n">
        <v>15</v>
      </c>
      <c r="F10" s="7" t="n">
        <v>15</v>
      </c>
      <c r="G10" s="7" t="n">
        <v>15</v>
      </c>
      <c r="H10" s="7" t="n">
        <v>15</v>
      </c>
      <c r="I10" s="7" t="n">
        <v>15</v>
      </c>
      <c r="J10" s="7" t="n">
        <v>15</v>
      </c>
      <c r="K10" s="7" t="n">
        <v>15</v>
      </c>
      <c r="L10" s="7" t="n">
        <v>15</v>
      </c>
      <c r="M10" s="7" t="n">
        <v>15</v>
      </c>
      <c r="N10" s="7" t="n">
        <v>15</v>
      </c>
      <c r="O10" s="7" t="n">
        <v>15</v>
      </c>
      <c r="P10" s="7" t="n">
        <v>15</v>
      </c>
      <c r="Q10" s="7" t="n">
        <v>15</v>
      </c>
      <c r="R10" s="7" t="n">
        <v>15</v>
      </c>
      <c r="S10" s="7" t="n">
        <v>15</v>
      </c>
      <c r="T10" s="7" t="n">
        <v>15</v>
      </c>
      <c r="U10" s="7" t="n">
        <v>15</v>
      </c>
      <c r="V10" s="7" t="n">
        <v>15</v>
      </c>
    </row>
    <row r="12">
      <c r="A12" s="8" t="inlineStr">
        <is>
          <t>ALL-IN FINANCING RATES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</row>
    <row r="13">
      <c r="A13" s="10" t="inlineStr">
        <is>
          <t>Repo All-In Rate (SOFR + Spread)</t>
        </is>
      </c>
      <c r="B13" s="18" t="inlineStr">
        <is>
          <t>%</t>
        </is>
      </c>
      <c r="C13" s="11">
        <f>C5+C9/10000</f>
        <v/>
      </c>
      <c r="D13" s="11">
        <f>D5+D9/10000</f>
        <v/>
      </c>
      <c r="E13" s="11">
        <f>E5+E9/10000</f>
        <v/>
      </c>
      <c r="F13" s="11">
        <f>F5+F9/10000</f>
        <v/>
      </c>
      <c r="G13" s="11">
        <f>G5+G9/10000</f>
        <v/>
      </c>
      <c r="H13" s="11">
        <f>H5+H9/10000</f>
        <v/>
      </c>
      <c r="I13" s="11">
        <f>I5+I9/10000</f>
        <v/>
      </c>
      <c r="J13" s="11">
        <f>J5+J9/10000</f>
        <v/>
      </c>
      <c r="K13" s="11">
        <f>K5+K9/10000</f>
        <v/>
      </c>
      <c r="L13" s="11">
        <f>L5+L9/10000</f>
        <v/>
      </c>
      <c r="M13" s="11">
        <f>M5+M9/10000</f>
        <v/>
      </c>
      <c r="N13" s="11">
        <f>N5+N9/10000</f>
        <v/>
      </c>
      <c r="O13" s="11">
        <f>O5+O9/10000</f>
        <v/>
      </c>
      <c r="P13" s="11">
        <f>P5+P9/10000</f>
        <v/>
      </c>
      <c r="Q13" s="11">
        <f>Q5+Q9/10000</f>
        <v/>
      </c>
      <c r="R13" s="11">
        <f>R5+R9/10000</f>
        <v/>
      </c>
      <c r="S13" s="11">
        <f>S5+S9/10000</f>
        <v/>
      </c>
      <c r="T13" s="11">
        <f>T5+T9/10000</f>
        <v/>
      </c>
      <c r="U13" s="11">
        <f>U5+U9/10000</f>
        <v/>
      </c>
      <c r="V13" s="11">
        <f>V5+V9/10000</f>
        <v/>
      </c>
    </row>
    <row r="14">
      <c r="A14" s="10" t="inlineStr">
        <is>
          <t>TOB All-In Rate (SIFMA + Spread)</t>
        </is>
      </c>
      <c r="B14" s="18" t="inlineStr">
        <is>
          <t>%</t>
        </is>
      </c>
      <c r="C14" s="11">
        <f>C6+C10/10000</f>
        <v/>
      </c>
      <c r="D14" s="11">
        <f>D6+D10/10000</f>
        <v/>
      </c>
      <c r="E14" s="11">
        <f>E6+E10/10000</f>
        <v/>
      </c>
      <c r="F14" s="11">
        <f>F6+F10/10000</f>
        <v/>
      </c>
      <c r="G14" s="11">
        <f>G6+G10/10000</f>
        <v/>
      </c>
      <c r="H14" s="11">
        <f>H6+H10/10000</f>
        <v/>
      </c>
      <c r="I14" s="11">
        <f>I6+I10/10000</f>
        <v/>
      </c>
      <c r="J14" s="11">
        <f>J6+J10/10000</f>
        <v/>
      </c>
      <c r="K14" s="11">
        <f>K6+K10/10000</f>
        <v/>
      </c>
      <c r="L14" s="11">
        <f>L6+L10/10000</f>
        <v/>
      </c>
      <c r="M14" s="11">
        <f>M6+M10/10000</f>
        <v/>
      </c>
      <c r="N14" s="11">
        <f>N6+N10/10000</f>
        <v/>
      </c>
      <c r="O14" s="11">
        <f>O6+O10/10000</f>
        <v/>
      </c>
      <c r="P14" s="11">
        <f>P6+P10/10000</f>
        <v/>
      </c>
      <c r="Q14" s="11">
        <f>Q6+Q10/10000</f>
        <v/>
      </c>
      <c r="R14" s="11">
        <f>R6+R10/10000</f>
        <v/>
      </c>
      <c r="S14" s="11">
        <f>S6+S10/10000</f>
        <v/>
      </c>
      <c r="T14" s="11">
        <f>T6+T10/10000</f>
        <v/>
      </c>
      <c r="U14" s="11">
        <f>U6+U10/10000</f>
        <v/>
      </c>
      <c r="V14" s="11">
        <f>V6+V10/10000</f>
        <v/>
      </c>
    </row>
    <row r="16">
      <c r="A16" s="14" t="inlineStr">
        <is>
          <t>Enter forward rates from Bloomberg Terminal. Use SOFRRATE Index (SOFR) and MUNIPSA Index (SIFMA).</t>
        </is>
      </c>
      <c r="G16" s="15">
        <f> Input</f>
        <v/>
      </c>
    </row>
  </sheetData>
  <mergeCells count="4">
    <mergeCell ref="A16:F16"/>
    <mergeCell ref="A1:V1"/>
    <mergeCell ref="A8:V8"/>
    <mergeCell ref="A3:V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D19"/>
    <outlinePr summaryBelow="1" summaryRight="1"/>
    <pageSetUpPr/>
  </sheetPr>
  <dimension ref="A1:V8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Annual Financial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3">
      <c r="A3" s="3" t="inlineStr">
        <is>
          <t>INPUTS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>
      <c r="A4" s="9" t="inlineStr"/>
      <c r="B4" s="16" t="n"/>
      <c r="C4" s="17" t="inlineStr">
        <is>
          <t>Year 1</t>
        </is>
      </c>
      <c r="D4" s="17" t="inlineStr">
        <is>
          <t>Year 2</t>
        </is>
      </c>
      <c r="E4" s="17" t="inlineStr">
        <is>
          <t>Year 3</t>
        </is>
      </c>
      <c r="F4" s="17" t="inlineStr">
        <is>
          <t>Year 4</t>
        </is>
      </c>
      <c r="G4" s="17" t="inlineStr">
        <is>
          <t>Year 5</t>
        </is>
      </c>
      <c r="H4" s="17" t="inlineStr">
        <is>
          <t>Year 6</t>
        </is>
      </c>
      <c r="I4" s="17" t="inlineStr">
        <is>
          <t>Year 7</t>
        </is>
      </c>
      <c r="J4" s="17" t="inlineStr">
        <is>
          <t>Year 8</t>
        </is>
      </c>
      <c r="K4" s="17" t="inlineStr">
        <is>
          <t>Year 9</t>
        </is>
      </c>
      <c r="L4" s="17" t="inlineStr">
        <is>
          <t>Year 10</t>
        </is>
      </c>
      <c r="M4" s="17" t="inlineStr">
        <is>
          <t>Year 11</t>
        </is>
      </c>
      <c r="N4" s="17" t="inlineStr">
        <is>
          <t>Year 12</t>
        </is>
      </c>
      <c r="O4" s="17" t="inlineStr">
        <is>
          <t>Year 13</t>
        </is>
      </c>
      <c r="P4" s="17" t="inlineStr">
        <is>
          <t>Year 14</t>
        </is>
      </c>
      <c r="Q4" s="17" t="inlineStr">
        <is>
          <t>Year 15</t>
        </is>
      </c>
      <c r="R4" s="17" t="inlineStr">
        <is>
          <t>Year 16</t>
        </is>
      </c>
      <c r="S4" s="17" t="inlineStr">
        <is>
          <t>Year 17</t>
        </is>
      </c>
      <c r="T4" s="17" t="inlineStr">
        <is>
          <t>Year 18</t>
        </is>
      </c>
      <c r="U4" s="17" t="inlineStr">
        <is>
          <t>Year 19</t>
        </is>
      </c>
      <c r="V4" s="17" t="inlineStr">
        <is>
          <t>Year 20</t>
        </is>
      </c>
    </row>
    <row r="5">
      <c r="A5" s="8" t="inlineStr">
        <is>
          <t>Asset Allocation</t>
        </is>
      </c>
      <c r="B5" s="9" t="inlineStr">
        <is>
          <t>%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</row>
    <row r="6">
      <c r="A6" s="10" t="inlineStr">
        <is>
          <t>LIHTC Loans</t>
        </is>
      </c>
      <c r="B6" s="20" t="n"/>
      <c r="C6" s="19" t="n">
        <v>0.35</v>
      </c>
      <c r="D6" s="19" t="n">
        <v>0.35</v>
      </c>
      <c r="E6" s="19" t="n">
        <v>0.35</v>
      </c>
      <c r="F6" s="19" t="n">
        <v>0.35</v>
      </c>
      <c r="G6" s="19" t="n">
        <v>0.35</v>
      </c>
      <c r="H6" s="19" t="n">
        <v>0.35</v>
      </c>
      <c r="I6" s="19" t="n">
        <v>0.35</v>
      </c>
      <c r="J6" s="19" t="n">
        <v>0.35</v>
      </c>
      <c r="K6" s="19" t="n">
        <v>0.35</v>
      </c>
      <c r="L6" s="19" t="n">
        <v>0.35</v>
      </c>
      <c r="M6" s="19" t="n">
        <v>0.35</v>
      </c>
      <c r="N6" s="19" t="n">
        <v>0.35</v>
      </c>
      <c r="O6" s="19" t="n">
        <v>0.35</v>
      </c>
      <c r="P6" s="19" t="n">
        <v>0.35</v>
      </c>
      <c r="Q6" s="19" t="n">
        <v>0.35</v>
      </c>
      <c r="R6" s="19" t="n">
        <v>0.35</v>
      </c>
      <c r="S6" s="19" t="n">
        <v>0.35</v>
      </c>
      <c r="T6" s="19" t="n">
        <v>0.35</v>
      </c>
      <c r="U6" s="19" t="n">
        <v>0.35</v>
      </c>
      <c r="V6" s="19" t="n">
        <v>0.35</v>
      </c>
    </row>
    <row r="7">
      <c r="A7" s="10" t="inlineStr">
        <is>
          <t>Municipal Bonds</t>
        </is>
      </c>
      <c r="B7" s="20" t="n"/>
      <c r="C7" s="19" t="n">
        <v>0.25</v>
      </c>
      <c r="D7" s="19" t="n">
        <v>0.25</v>
      </c>
      <c r="E7" s="19" t="n">
        <v>0.25</v>
      </c>
      <c r="F7" s="19" t="n">
        <v>0.25</v>
      </c>
      <c r="G7" s="19" t="n">
        <v>0.25</v>
      </c>
      <c r="H7" s="19" t="n">
        <v>0.25</v>
      </c>
      <c r="I7" s="19" t="n">
        <v>0.25</v>
      </c>
      <c r="J7" s="19" t="n">
        <v>0.25</v>
      </c>
      <c r="K7" s="19" t="n">
        <v>0.25</v>
      </c>
      <c r="L7" s="19" t="n">
        <v>0.25</v>
      </c>
      <c r="M7" s="19" t="n">
        <v>0.25</v>
      </c>
      <c r="N7" s="19" t="n">
        <v>0.25</v>
      </c>
      <c r="O7" s="19" t="n">
        <v>0.25</v>
      </c>
      <c r="P7" s="19" t="n">
        <v>0.25</v>
      </c>
      <c r="Q7" s="19" t="n">
        <v>0.25</v>
      </c>
      <c r="R7" s="19" t="n">
        <v>0.25</v>
      </c>
      <c r="S7" s="19" t="n">
        <v>0.25</v>
      </c>
      <c r="T7" s="19" t="n">
        <v>0.25</v>
      </c>
      <c r="U7" s="19" t="n">
        <v>0.25</v>
      </c>
      <c r="V7" s="19" t="n">
        <v>0.25</v>
      </c>
    </row>
    <row r="8">
      <c r="A8" s="10" t="inlineStr">
        <is>
          <t>JVs</t>
        </is>
      </c>
      <c r="B8" s="20" t="n"/>
      <c r="C8" s="19" t="n">
        <v>0.15</v>
      </c>
      <c r="D8" s="19" t="n">
        <v>0.15</v>
      </c>
      <c r="E8" s="19" t="n">
        <v>0.15</v>
      </c>
      <c r="F8" s="19" t="n">
        <v>0.15</v>
      </c>
      <c r="G8" s="19" t="n">
        <v>0.15</v>
      </c>
      <c r="H8" s="19" t="n">
        <v>0.15</v>
      </c>
      <c r="I8" s="19" t="n">
        <v>0.15</v>
      </c>
      <c r="J8" s="19" t="n">
        <v>0.15</v>
      </c>
      <c r="K8" s="19" t="n">
        <v>0.15</v>
      </c>
      <c r="L8" s="19" t="n">
        <v>0.15</v>
      </c>
      <c r="M8" s="19" t="n">
        <v>0.15</v>
      </c>
      <c r="N8" s="19" t="n">
        <v>0.15</v>
      </c>
      <c r="O8" s="19" t="n">
        <v>0.15</v>
      </c>
      <c r="P8" s="19" t="n">
        <v>0.15</v>
      </c>
      <c r="Q8" s="19" t="n">
        <v>0.15</v>
      </c>
      <c r="R8" s="19" t="n">
        <v>0.15</v>
      </c>
      <c r="S8" s="19" t="n">
        <v>0.15</v>
      </c>
      <c r="T8" s="19" t="n">
        <v>0.15</v>
      </c>
      <c r="U8" s="19" t="n">
        <v>0.15</v>
      </c>
      <c r="V8" s="19" t="n">
        <v>0.15</v>
      </c>
    </row>
    <row r="9">
      <c r="A9" s="10" t="inlineStr">
        <is>
          <t>Securitization Residuals (B-Pieces)</t>
        </is>
      </c>
      <c r="B9" s="20" t="n"/>
      <c r="C9" s="19" t="n">
        <v>0.15</v>
      </c>
      <c r="D9" s="19" t="n">
        <v>0.15</v>
      </c>
      <c r="E9" s="19" t="n">
        <v>0.15</v>
      </c>
      <c r="F9" s="19" t="n">
        <v>0.15</v>
      </c>
      <c r="G9" s="19" t="n">
        <v>0.15</v>
      </c>
      <c r="H9" s="19" t="n">
        <v>0.15</v>
      </c>
      <c r="I9" s="19" t="n">
        <v>0.15</v>
      </c>
      <c r="J9" s="19" t="n">
        <v>0.15</v>
      </c>
      <c r="K9" s="19" t="n">
        <v>0.15</v>
      </c>
      <c r="L9" s="19" t="n">
        <v>0.15</v>
      </c>
      <c r="M9" s="19" t="n">
        <v>0.15</v>
      </c>
      <c r="N9" s="19" t="n">
        <v>0.15</v>
      </c>
      <c r="O9" s="19" t="n">
        <v>0.15</v>
      </c>
      <c r="P9" s="19" t="n">
        <v>0.15</v>
      </c>
      <c r="Q9" s="19" t="n">
        <v>0.15</v>
      </c>
      <c r="R9" s="19" t="n">
        <v>0.15</v>
      </c>
      <c r="S9" s="19" t="n">
        <v>0.15</v>
      </c>
      <c r="T9" s="19" t="n">
        <v>0.15</v>
      </c>
      <c r="U9" s="19" t="n">
        <v>0.15</v>
      </c>
      <c r="V9" s="19" t="n">
        <v>0.15</v>
      </c>
    </row>
    <row r="10">
      <c r="A10" s="10" t="inlineStr">
        <is>
          <t>Cash</t>
        </is>
      </c>
      <c r="B10" s="20" t="n"/>
      <c r="C10" s="19" t="n">
        <v>0.1</v>
      </c>
      <c r="D10" s="19" t="n">
        <v>0.1</v>
      </c>
      <c r="E10" s="19" t="n">
        <v>0.1</v>
      </c>
      <c r="F10" s="19" t="n">
        <v>0.1</v>
      </c>
      <c r="G10" s="19" t="n">
        <v>0.1</v>
      </c>
      <c r="H10" s="19" t="n">
        <v>0.1</v>
      </c>
      <c r="I10" s="19" t="n">
        <v>0.1</v>
      </c>
      <c r="J10" s="19" t="n">
        <v>0.1</v>
      </c>
      <c r="K10" s="19" t="n">
        <v>0.1</v>
      </c>
      <c r="L10" s="19" t="n">
        <v>0.1</v>
      </c>
      <c r="M10" s="19" t="n">
        <v>0.1</v>
      </c>
      <c r="N10" s="19" t="n">
        <v>0.1</v>
      </c>
      <c r="O10" s="19" t="n">
        <v>0.1</v>
      </c>
      <c r="P10" s="19" t="n">
        <v>0.1</v>
      </c>
      <c r="Q10" s="19" t="n">
        <v>0.1</v>
      </c>
      <c r="R10" s="19" t="n">
        <v>0.1</v>
      </c>
      <c r="S10" s="19" t="n">
        <v>0.1</v>
      </c>
      <c r="T10" s="19" t="n">
        <v>0.1</v>
      </c>
      <c r="U10" s="19" t="n">
        <v>0.1</v>
      </c>
      <c r="V10" s="19" t="n">
        <v>0.1</v>
      </c>
    </row>
    <row r="11">
      <c r="A11" s="21" t="inlineStr">
        <is>
          <t>Total Allocation</t>
        </is>
      </c>
      <c r="B11" s="20" t="n"/>
      <c r="C11" s="22">
        <f>SUM(C6:C10)</f>
        <v/>
      </c>
      <c r="D11" s="22">
        <f>SUM(D6:D10)</f>
        <v/>
      </c>
      <c r="E11" s="22">
        <f>SUM(E6:E10)</f>
        <v/>
      </c>
      <c r="F11" s="22">
        <f>SUM(F6:F10)</f>
        <v/>
      </c>
      <c r="G11" s="22">
        <f>SUM(G6:G10)</f>
        <v/>
      </c>
      <c r="H11" s="22">
        <f>SUM(H6:H10)</f>
        <v/>
      </c>
      <c r="I11" s="22">
        <f>SUM(I6:I10)</f>
        <v/>
      </c>
      <c r="J11" s="22">
        <f>SUM(J6:J10)</f>
        <v/>
      </c>
      <c r="K11" s="22">
        <f>SUM(K6:K10)</f>
        <v/>
      </c>
      <c r="L11" s="22">
        <f>SUM(L6:L10)</f>
        <v/>
      </c>
      <c r="M11" s="22">
        <f>SUM(M6:M10)</f>
        <v/>
      </c>
      <c r="N11" s="22">
        <f>SUM(N6:N10)</f>
        <v/>
      </c>
      <c r="O11" s="22">
        <f>SUM(O6:O10)</f>
        <v/>
      </c>
      <c r="P11" s="22">
        <f>SUM(P6:P10)</f>
        <v/>
      </c>
      <c r="Q11" s="22">
        <f>SUM(Q6:Q10)</f>
        <v/>
      </c>
      <c r="R11" s="22">
        <f>SUM(R6:R10)</f>
        <v/>
      </c>
      <c r="S11" s="22">
        <f>SUM(S6:S10)</f>
        <v/>
      </c>
      <c r="T11" s="22">
        <f>SUM(T6:T10)</f>
        <v/>
      </c>
      <c r="U11" s="22">
        <f>SUM(U6:U10)</f>
        <v/>
      </c>
      <c r="V11" s="22">
        <f>SUM(V6:V10)</f>
        <v/>
      </c>
    </row>
    <row r="12">
      <c r="A12" s="8" t="inlineStr">
        <is>
          <t>Expected Yields</t>
        </is>
      </c>
      <c r="B12" s="9" t="inlineStr">
        <is>
          <t>%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</row>
    <row r="13">
      <c r="A13" s="10" t="inlineStr">
        <is>
          <t>LIHTC Loans</t>
        </is>
      </c>
      <c r="B13" s="20" t="n"/>
      <c r="C13" s="19" t="n">
        <v>0.065</v>
      </c>
      <c r="D13" s="19" t="n">
        <v>0.065</v>
      </c>
      <c r="E13" s="19" t="n">
        <v>0.065</v>
      </c>
      <c r="F13" s="19" t="n">
        <v>0.065</v>
      </c>
      <c r="G13" s="19" t="n">
        <v>0.065</v>
      </c>
      <c r="H13" s="19" t="n">
        <v>0.065</v>
      </c>
      <c r="I13" s="19" t="n">
        <v>0.065</v>
      </c>
      <c r="J13" s="19" t="n">
        <v>0.065</v>
      </c>
      <c r="K13" s="19" t="n">
        <v>0.065</v>
      </c>
      <c r="L13" s="19" t="n">
        <v>0.065</v>
      </c>
      <c r="M13" s="19" t="n">
        <v>0.065</v>
      </c>
      <c r="N13" s="19" t="n">
        <v>0.065</v>
      </c>
      <c r="O13" s="19" t="n">
        <v>0.065</v>
      </c>
      <c r="P13" s="19" t="n">
        <v>0.065</v>
      </c>
      <c r="Q13" s="19" t="n">
        <v>0.065</v>
      </c>
      <c r="R13" s="19" t="n">
        <v>0.065</v>
      </c>
      <c r="S13" s="19" t="n">
        <v>0.065</v>
      </c>
      <c r="T13" s="19" t="n">
        <v>0.065</v>
      </c>
      <c r="U13" s="19" t="n">
        <v>0.065</v>
      </c>
      <c r="V13" s="19" t="n">
        <v>0.065</v>
      </c>
    </row>
    <row r="14">
      <c r="A14" s="10" t="inlineStr">
        <is>
          <t>Municipal Bonds</t>
        </is>
      </c>
      <c r="B14" s="20" t="n"/>
      <c r="C14" s="19" t="n">
        <v>0.045</v>
      </c>
      <c r="D14" s="19" t="n">
        <v>0.045</v>
      </c>
      <c r="E14" s="19" t="n">
        <v>0.045</v>
      </c>
      <c r="F14" s="19" t="n">
        <v>0.045</v>
      </c>
      <c r="G14" s="19" t="n">
        <v>0.045</v>
      </c>
      <c r="H14" s="19" t="n">
        <v>0.045</v>
      </c>
      <c r="I14" s="19" t="n">
        <v>0.045</v>
      </c>
      <c r="J14" s="19" t="n">
        <v>0.045</v>
      </c>
      <c r="K14" s="19" t="n">
        <v>0.045</v>
      </c>
      <c r="L14" s="19" t="n">
        <v>0.045</v>
      </c>
      <c r="M14" s="19" t="n">
        <v>0.045</v>
      </c>
      <c r="N14" s="19" t="n">
        <v>0.045</v>
      </c>
      <c r="O14" s="19" t="n">
        <v>0.045</v>
      </c>
      <c r="P14" s="19" t="n">
        <v>0.045</v>
      </c>
      <c r="Q14" s="19" t="n">
        <v>0.045</v>
      </c>
      <c r="R14" s="19" t="n">
        <v>0.045</v>
      </c>
      <c r="S14" s="19" t="n">
        <v>0.045</v>
      </c>
      <c r="T14" s="19" t="n">
        <v>0.045</v>
      </c>
      <c r="U14" s="19" t="n">
        <v>0.045</v>
      </c>
      <c r="V14" s="19" t="n">
        <v>0.045</v>
      </c>
    </row>
    <row r="15">
      <c r="A15" s="10" t="inlineStr">
        <is>
          <t>JVs</t>
        </is>
      </c>
      <c r="B15" s="20" t="n"/>
      <c r="C15" s="19" t="n">
        <v>0.08</v>
      </c>
      <c r="D15" s="19" t="n">
        <v>0.08</v>
      </c>
      <c r="E15" s="19" t="n">
        <v>0.08</v>
      </c>
      <c r="F15" s="19" t="n">
        <v>0.08</v>
      </c>
      <c r="G15" s="19" t="n">
        <v>0.08</v>
      </c>
      <c r="H15" s="19" t="n">
        <v>0.08</v>
      </c>
      <c r="I15" s="19" t="n">
        <v>0.08</v>
      </c>
      <c r="J15" s="19" t="n">
        <v>0.08</v>
      </c>
      <c r="K15" s="19" t="n">
        <v>0.08</v>
      </c>
      <c r="L15" s="19" t="n">
        <v>0.08</v>
      </c>
      <c r="M15" s="19" t="n">
        <v>0.08</v>
      </c>
      <c r="N15" s="19" t="n">
        <v>0.08</v>
      </c>
      <c r="O15" s="19" t="n">
        <v>0.08</v>
      </c>
      <c r="P15" s="19" t="n">
        <v>0.08</v>
      </c>
      <c r="Q15" s="19" t="n">
        <v>0.08</v>
      </c>
      <c r="R15" s="19" t="n">
        <v>0.08</v>
      </c>
      <c r="S15" s="19" t="n">
        <v>0.08</v>
      </c>
      <c r="T15" s="19" t="n">
        <v>0.08</v>
      </c>
      <c r="U15" s="19" t="n">
        <v>0.08</v>
      </c>
      <c r="V15" s="19" t="n">
        <v>0.08</v>
      </c>
    </row>
    <row r="16">
      <c r="A16" s="10" t="inlineStr">
        <is>
          <t>Securitization Residuals (B-Pieces)</t>
        </is>
      </c>
      <c r="B16" s="20" t="n"/>
      <c r="C16" s="19" t="n">
        <v>0.075</v>
      </c>
      <c r="D16" s="19" t="n">
        <v>0.075</v>
      </c>
      <c r="E16" s="19" t="n">
        <v>0.075</v>
      </c>
      <c r="F16" s="19" t="n">
        <v>0.075</v>
      </c>
      <c r="G16" s="19" t="n">
        <v>0.075</v>
      </c>
      <c r="H16" s="19" t="n">
        <v>0.075</v>
      </c>
      <c r="I16" s="19" t="n">
        <v>0.075</v>
      </c>
      <c r="J16" s="19" t="n">
        <v>0.075</v>
      </c>
      <c r="K16" s="19" t="n">
        <v>0.075</v>
      </c>
      <c r="L16" s="19" t="n">
        <v>0.075</v>
      </c>
      <c r="M16" s="19" t="n">
        <v>0.075</v>
      </c>
      <c r="N16" s="19" t="n">
        <v>0.075</v>
      </c>
      <c r="O16" s="19" t="n">
        <v>0.075</v>
      </c>
      <c r="P16" s="19" t="n">
        <v>0.075</v>
      </c>
      <c r="Q16" s="19" t="n">
        <v>0.075</v>
      </c>
      <c r="R16" s="19" t="n">
        <v>0.075</v>
      </c>
      <c r="S16" s="19" t="n">
        <v>0.075</v>
      </c>
      <c r="T16" s="19" t="n">
        <v>0.075</v>
      </c>
      <c r="U16" s="19" t="n">
        <v>0.075</v>
      </c>
      <c r="V16" s="19" t="n">
        <v>0.075</v>
      </c>
    </row>
    <row r="17">
      <c r="A17" s="10" t="inlineStr">
        <is>
          <t>Cash</t>
        </is>
      </c>
      <c r="B17" s="20" t="n"/>
      <c r="C17" s="19" t="n">
        <v>0.02</v>
      </c>
      <c r="D17" s="19" t="n">
        <v>0.02</v>
      </c>
      <c r="E17" s="19" t="n">
        <v>0.02</v>
      </c>
      <c r="F17" s="19" t="n">
        <v>0.02</v>
      </c>
      <c r="G17" s="19" t="n">
        <v>0.02</v>
      </c>
      <c r="H17" s="19" t="n">
        <v>0.02</v>
      </c>
      <c r="I17" s="19" t="n">
        <v>0.02</v>
      </c>
      <c r="J17" s="19" t="n">
        <v>0.02</v>
      </c>
      <c r="K17" s="19" t="n">
        <v>0.02</v>
      </c>
      <c r="L17" s="19" t="n">
        <v>0.02</v>
      </c>
      <c r="M17" s="19" t="n">
        <v>0.02</v>
      </c>
      <c r="N17" s="19" t="n">
        <v>0.02</v>
      </c>
      <c r="O17" s="19" t="n">
        <v>0.02</v>
      </c>
      <c r="P17" s="19" t="n">
        <v>0.02</v>
      </c>
      <c r="Q17" s="19" t="n">
        <v>0.02</v>
      </c>
      <c r="R17" s="19" t="n">
        <v>0.02</v>
      </c>
      <c r="S17" s="19" t="n">
        <v>0.02</v>
      </c>
      <c r="T17" s="19" t="n">
        <v>0.02</v>
      </c>
      <c r="U17" s="19" t="n">
        <v>0.02</v>
      </c>
      <c r="V17" s="19" t="n">
        <v>0.02</v>
      </c>
    </row>
    <row r="19">
      <c r="A19" s="8" t="inlineStr">
        <is>
          <t>Leverage Parameters (LIHTC Loans Only)</t>
        </is>
      </c>
      <c r="B19" s="9" t="inlineStr">
        <is>
          <t>%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</row>
    <row r="20">
      <c r="A20" s="10" t="inlineStr">
        <is>
          <t>Leverage % of LIHTC Loans</t>
        </is>
      </c>
      <c r="B20" s="20" t="n"/>
      <c r="C20" s="23" t="n">
        <v>0.25</v>
      </c>
      <c r="D20" s="23" t="n">
        <v>0.25</v>
      </c>
      <c r="E20" s="23" t="n">
        <v>0.25</v>
      </c>
      <c r="F20" s="23" t="n">
        <v>0.25</v>
      </c>
      <c r="G20" s="23" t="n">
        <v>0.25</v>
      </c>
      <c r="H20" s="23" t="n">
        <v>0.25</v>
      </c>
      <c r="I20" s="23" t="n">
        <v>0.25</v>
      </c>
      <c r="J20" s="23" t="n">
        <v>0.25</v>
      </c>
      <c r="K20" s="23" t="n">
        <v>0.25</v>
      </c>
      <c r="L20" s="23" t="n">
        <v>0.25</v>
      </c>
      <c r="M20" s="23" t="n">
        <v>0.25</v>
      </c>
      <c r="N20" s="23" t="n">
        <v>0.25</v>
      </c>
      <c r="O20" s="23" t="n">
        <v>0.25</v>
      </c>
      <c r="P20" s="23" t="n">
        <v>0.25</v>
      </c>
      <c r="Q20" s="23" t="n">
        <v>0.25</v>
      </c>
      <c r="R20" s="23" t="n">
        <v>0.25</v>
      </c>
      <c r="S20" s="23" t="n">
        <v>0.25</v>
      </c>
      <c r="T20" s="23" t="n">
        <v>0.25</v>
      </c>
      <c r="U20" s="23" t="n">
        <v>0.25</v>
      </c>
      <c r="V20" s="23" t="n">
        <v>0.25</v>
      </c>
    </row>
    <row r="21">
      <c r="A21" s="10" t="inlineStr">
        <is>
          <t>Repo Financing Weight (vs TOB)</t>
        </is>
      </c>
      <c r="B21" s="20" t="n"/>
      <c r="C21" s="23" t="n">
        <v>0.6</v>
      </c>
      <c r="D21" s="23" t="n">
        <v>0.6</v>
      </c>
      <c r="E21" s="23" t="n">
        <v>0.6</v>
      </c>
      <c r="F21" s="23" t="n">
        <v>0.6</v>
      </c>
      <c r="G21" s="23" t="n">
        <v>0.6</v>
      </c>
      <c r="H21" s="23" t="n">
        <v>0.6</v>
      </c>
      <c r="I21" s="23" t="n">
        <v>0.6</v>
      </c>
      <c r="J21" s="23" t="n">
        <v>0.6</v>
      </c>
      <c r="K21" s="23" t="n">
        <v>0.6</v>
      </c>
      <c r="L21" s="23" t="n">
        <v>0.6</v>
      </c>
      <c r="M21" s="23" t="n">
        <v>0.6</v>
      </c>
      <c r="N21" s="23" t="n">
        <v>0.6</v>
      </c>
      <c r="O21" s="23" t="n">
        <v>0.6</v>
      </c>
      <c r="P21" s="23" t="n">
        <v>0.6</v>
      </c>
      <c r="Q21" s="23" t="n">
        <v>0.6</v>
      </c>
      <c r="R21" s="23" t="n">
        <v>0.6</v>
      </c>
      <c r="S21" s="23" t="n">
        <v>0.6</v>
      </c>
      <c r="T21" s="23" t="n">
        <v>0.6</v>
      </c>
      <c r="U21" s="23" t="n">
        <v>0.6</v>
      </c>
      <c r="V21" s="23" t="n">
        <v>0.6</v>
      </c>
    </row>
    <row r="23">
      <c r="A23" s="8" t="inlineStr">
        <is>
          <t>Securitization Parameters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</row>
    <row r="24">
      <c r="A24" s="10" t="inlineStr">
        <is>
          <t>% of Loans to Securitize</t>
        </is>
      </c>
      <c r="B24" s="20" t="n"/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0</v>
      </c>
    </row>
    <row r="25">
      <c r="A25" s="10" t="inlineStr">
        <is>
          <t>Loan Advance Rate</t>
        </is>
      </c>
      <c r="B25" s="20" t="n"/>
      <c r="C25" s="23" t="n">
        <v>0.85</v>
      </c>
      <c r="D25" s="23" t="n">
        <v>0.85</v>
      </c>
      <c r="E25" s="23" t="n">
        <v>0.85</v>
      </c>
      <c r="F25" s="23" t="n">
        <v>0.85</v>
      </c>
      <c r="G25" s="23" t="n">
        <v>0.85</v>
      </c>
      <c r="H25" s="23" t="n">
        <v>0.85</v>
      </c>
      <c r="I25" s="23" t="n">
        <v>0.85</v>
      </c>
      <c r="J25" s="23" t="n">
        <v>0.85</v>
      </c>
      <c r="K25" s="23" t="n">
        <v>0.85</v>
      </c>
      <c r="L25" s="23" t="n">
        <v>0.85</v>
      </c>
      <c r="M25" s="23" t="n">
        <v>0.85</v>
      </c>
      <c r="N25" s="23" t="n">
        <v>0.85</v>
      </c>
      <c r="O25" s="23" t="n">
        <v>0.85</v>
      </c>
      <c r="P25" s="23" t="n">
        <v>0.85</v>
      </c>
      <c r="Q25" s="23" t="n">
        <v>0.85</v>
      </c>
      <c r="R25" s="23" t="n">
        <v>0.85</v>
      </c>
      <c r="S25" s="23" t="n">
        <v>0.85</v>
      </c>
      <c r="T25" s="23" t="n">
        <v>0.85</v>
      </c>
      <c r="U25" s="23" t="n">
        <v>0.85</v>
      </c>
      <c r="V25" s="23" t="n">
        <v>0.85</v>
      </c>
    </row>
    <row r="26">
      <c r="A26" s="10" t="inlineStr">
        <is>
          <t>Loan Securitization Spread</t>
        </is>
      </c>
      <c r="B26" s="18" t="inlineStr">
        <is>
          <t>bps</t>
        </is>
      </c>
      <c r="C26" s="7" t="n">
        <v>150</v>
      </c>
      <c r="D26" s="7" t="n">
        <v>150</v>
      </c>
      <c r="E26" s="7" t="n">
        <v>150</v>
      </c>
      <c r="F26" s="7" t="n">
        <v>150</v>
      </c>
      <c r="G26" s="7" t="n">
        <v>150</v>
      </c>
      <c r="H26" s="7" t="n">
        <v>150</v>
      </c>
      <c r="I26" s="7" t="n">
        <v>150</v>
      </c>
      <c r="J26" s="7" t="n">
        <v>150</v>
      </c>
      <c r="K26" s="7" t="n">
        <v>150</v>
      </c>
      <c r="L26" s="7" t="n">
        <v>150</v>
      </c>
      <c r="M26" s="7" t="n">
        <v>150</v>
      </c>
      <c r="N26" s="7" t="n">
        <v>150</v>
      </c>
      <c r="O26" s="7" t="n">
        <v>150</v>
      </c>
      <c r="P26" s="7" t="n">
        <v>150</v>
      </c>
      <c r="Q26" s="7" t="n">
        <v>150</v>
      </c>
      <c r="R26" s="7" t="n">
        <v>150</v>
      </c>
      <c r="S26" s="7" t="n">
        <v>150</v>
      </c>
      <c r="T26" s="7" t="n">
        <v>150</v>
      </c>
      <c r="U26" s="7" t="n">
        <v>150</v>
      </c>
      <c r="V26" s="7" t="n">
        <v>150</v>
      </c>
    </row>
    <row r="27">
      <c r="A27" s="10" t="inlineStr">
        <is>
          <t>% of JVs to Resecuritize</t>
        </is>
      </c>
      <c r="B27" s="20" t="n"/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0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  <c r="U27" s="23" t="n">
        <v>0</v>
      </c>
      <c r="V27" s="23" t="n">
        <v>0</v>
      </c>
    </row>
    <row r="28">
      <c r="A28" s="10" t="inlineStr">
        <is>
          <t>JV Advance Rate</t>
        </is>
      </c>
      <c r="B28" s="20" t="n"/>
      <c r="C28" s="23" t="n">
        <v>0.75</v>
      </c>
      <c r="D28" s="23" t="n">
        <v>0.75</v>
      </c>
      <c r="E28" s="23" t="n">
        <v>0.75</v>
      </c>
      <c r="F28" s="23" t="n">
        <v>0.75</v>
      </c>
      <c r="G28" s="23" t="n">
        <v>0.75</v>
      </c>
      <c r="H28" s="23" t="n">
        <v>0.75</v>
      </c>
      <c r="I28" s="23" t="n">
        <v>0.75</v>
      </c>
      <c r="J28" s="23" t="n">
        <v>0.75</v>
      </c>
      <c r="K28" s="23" t="n">
        <v>0.75</v>
      </c>
      <c r="L28" s="23" t="n">
        <v>0.75</v>
      </c>
      <c r="M28" s="23" t="n">
        <v>0.75</v>
      </c>
      <c r="N28" s="23" t="n">
        <v>0.75</v>
      </c>
      <c r="O28" s="23" t="n">
        <v>0.75</v>
      </c>
      <c r="P28" s="23" t="n">
        <v>0.75</v>
      </c>
      <c r="Q28" s="23" t="n">
        <v>0.75</v>
      </c>
      <c r="R28" s="23" t="n">
        <v>0.75</v>
      </c>
      <c r="S28" s="23" t="n">
        <v>0.75</v>
      </c>
      <c r="T28" s="23" t="n">
        <v>0.75</v>
      </c>
      <c r="U28" s="23" t="n">
        <v>0.75</v>
      </c>
      <c r="V28" s="23" t="n">
        <v>0.75</v>
      </c>
    </row>
    <row r="29">
      <c r="A29" s="10" t="inlineStr">
        <is>
          <t>JV Resecuritization Spread</t>
        </is>
      </c>
      <c r="B29" s="18" t="inlineStr">
        <is>
          <t>bps</t>
        </is>
      </c>
      <c r="C29" s="7" t="n">
        <v>200</v>
      </c>
      <c r="D29" s="7" t="n">
        <v>200</v>
      </c>
      <c r="E29" s="7" t="n">
        <v>200</v>
      </c>
      <c r="F29" s="7" t="n">
        <v>200</v>
      </c>
      <c r="G29" s="7" t="n">
        <v>200</v>
      </c>
      <c r="H29" s="7" t="n">
        <v>200</v>
      </c>
      <c r="I29" s="7" t="n">
        <v>200</v>
      </c>
      <c r="J29" s="7" t="n">
        <v>200</v>
      </c>
      <c r="K29" s="7" t="n">
        <v>200</v>
      </c>
      <c r="L29" s="7" t="n">
        <v>200</v>
      </c>
      <c r="M29" s="7" t="n">
        <v>200</v>
      </c>
      <c r="N29" s="7" t="n">
        <v>200</v>
      </c>
      <c r="O29" s="7" t="n">
        <v>200</v>
      </c>
      <c r="P29" s="7" t="n">
        <v>200</v>
      </c>
      <c r="Q29" s="7" t="n">
        <v>200</v>
      </c>
      <c r="R29" s="7" t="n">
        <v>200</v>
      </c>
      <c r="S29" s="7" t="n">
        <v>200</v>
      </c>
      <c r="T29" s="7" t="n">
        <v>200</v>
      </c>
      <c r="U29" s="7" t="n">
        <v>200</v>
      </c>
      <c r="V29" s="7" t="n">
        <v>200</v>
      </c>
    </row>
    <row r="31">
      <c r="A31" s="3" t="inlineStr">
        <is>
          <t>PORTFOLIO PERFORMANCE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>
      <c r="A32" s="21" t="inlineStr">
        <is>
          <t>Beginning AUM</t>
        </is>
      </c>
      <c r="B32" s="18" t="inlineStr">
        <is>
          <t>$</t>
        </is>
      </c>
      <c r="C32" s="13">
        <f>Summary!$C$5</f>
        <v/>
      </c>
      <c r="D32" s="13">
        <f>C87</f>
        <v/>
      </c>
      <c r="E32" s="13">
        <f>D87</f>
        <v/>
      </c>
      <c r="F32" s="13">
        <f>E87</f>
        <v/>
      </c>
      <c r="G32" s="13">
        <f>F87</f>
        <v/>
      </c>
      <c r="H32" s="13">
        <f>G87</f>
        <v/>
      </c>
      <c r="I32" s="13">
        <f>H87</f>
        <v/>
      </c>
      <c r="J32" s="13">
        <f>I87</f>
        <v/>
      </c>
      <c r="K32" s="13">
        <f>J87</f>
        <v/>
      </c>
      <c r="L32" s="13">
        <f>K87</f>
        <v/>
      </c>
      <c r="M32" s="13">
        <f>L87</f>
        <v/>
      </c>
      <c r="N32" s="13">
        <f>M87</f>
        <v/>
      </c>
      <c r="O32" s="13">
        <f>N87</f>
        <v/>
      </c>
      <c r="P32" s="13">
        <f>O87</f>
        <v/>
      </c>
      <c r="Q32" s="13">
        <f>P87</f>
        <v/>
      </c>
      <c r="R32" s="13">
        <f>Q87</f>
        <v/>
      </c>
      <c r="S32" s="13">
        <f>R87</f>
        <v/>
      </c>
      <c r="T32" s="13">
        <f>S87</f>
        <v/>
      </c>
      <c r="U32" s="13">
        <f>T87</f>
        <v/>
      </c>
      <c r="V32" s="13">
        <f>U87</f>
        <v/>
      </c>
    </row>
    <row r="33">
      <c r="A33" s="21" t="inlineStr">
        <is>
          <t>Gross Portfolio Yield</t>
        </is>
      </c>
      <c r="B33" s="18" t="inlineStr">
        <is>
          <t>%</t>
        </is>
      </c>
      <c r="C33" s="11">
        <f>SUMPRODUCT(C6:C10,C13:C17)</f>
        <v/>
      </c>
      <c r="D33" s="11">
        <f>SUMPRODUCT(D6:D10,D13:D17)</f>
        <v/>
      </c>
      <c r="E33" s="11">
        <f>SUMPRODUCT(E6:E10,E13:E17)</f>
        <v/>
      </c>
      <c r="F33" s="11">
        <f>SUMPRODUCT(F6:F10,F13:F17)</f>
        <v/>
      </c>
      <c r="G33" s="11">
        <f>SUMPRODUCT(G6:G10,G13:G17)</f>
        <v/>
      </c>
      <c r="H33" s="11">
        <f>SUMPRODUCT(H6:H10,H13:H17)</f>
        <v/>
      </c>
      <c r="I33" s="11">
        <f>SUMPRODUCT(I6:I10,I13:I17)</f>
        <v/>
      </c>
      <c r="J33" s="11">
        <f>SUMPRODUCT(J6:J10,J13:J17)</f>
        <v/>
      </c>
      <c r="K33" s="11">
        <f>SUMPRODUCT(K6:K10,K13:K17)</f>
        <v/>
      </c>
      <c r="L33" s="11">
        <f>SUMPRODUCT(L6:L10,L13:L17)</f>
        <v/>
      </c>
      <c r="M33" s="11">
        <f>SUMPRODUCT(M6:M10,M13:M17)</f>
        <v/>
      </c>
      <c r="N33" s="11">
        <f>SUMPRODUCT(N6:N10,N13:N17)</f>
        <v/>
      </c>
      <c r="O33" s="11">
        <f>SUMPRODUCT(O6:O10,O13:O17)</f>
        <v/>
      </c>
      <c r="P33" s="11">
        <f>SUMPRODUCT(P6:P10,P13:P17)</f>
        <v/>
      </c>
      <c r="Q33" s="11">
        <f>SUMPRODUCT(Q6:Q10,Q13:Q17)</f>
        <v/>
      </c>
      <c r="R33" s="11">
        <f>SUMPRODUCT(R6:R10,R13:R17)</f>
        <v/>
      </c>
      <c r="S33" s="11">
        <f>SUMPRODUCT(S6:S10,S13:S17)</f>
        <v/>
      </c>
      <c r="T33" s="11">
        <f>SUMPRODUCT(T6:T10,T13:T17)</f>
        <v/>
      </c>
      <c r="U33" s="11">
        <f>SUMPRODUCT(U6:U10,U13:U17)</f>
        <v/>
      </c>
      <c r="V33" s="11">
        <f>SUMPRODUCT(V6:V10,V13:V17)</f>
        <v/>
      </c>
    </row>
    <row r="35">
      <c r="A35" s="8" t="inlineStr">
        <is>
          <t>Income by Asset Class</t>
        </is>
      </c>
      <c r="B35" s="9" t="inlineStr">
        <is>
          <t>$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</row>
    <row r="36">
      <c r="A36" s="10" t="inlineStr">
        <is>
          <t>LIHTC Loans</t>
        </is>
      </c>
      <c r="B36" s="20" t="n"/>
      <c r="C36" s="24">
        <f>C32*C6*C13</f>
        <v/>
      </c>
      <c r="D36" s="24">
        <f>D32*D6*D13</f>
        <v/>
      </c>
      <c r="E36" s="24">
        <f>E32*E6*E13</f>
        <v/>
      </c>
      <c r="F36" s="24">
        <f>F32*F6*F13</f>
        <v/>
      </c>
      <c r="G36" s="24">
        <f>G32*G6*G13</f>
        <v/>
      </c>
      <c r="H36" s="24">
        <f>H32*H6*H13</f>
        <v/>
      </c>
      <c r="I36" s="24">
        <f>I32*I6*I13</f>
        <v/>
      </c>
      <c r="J36" s="24">
        <f>J32*J6*J13</f>
        <v/>
      </c>
      <c r="K36" s="24">
        <f>K32*K6*K13</f>
        <v/>
      </c>
      <c r="L36" s="24">
        <f>L32*L6*L13</f>
        <v/>
      </c>
      <c r="M36" s="24">
        <f>M32*M6*M13</f>
        <v/>
      </c>
      <c r="N36" s="24">
        <f>N32*N6*N13</f>
        <v/>
      </c>
      <c r="O36" s="24">
        <f>O32*O6*O13</f>
        <v/>
      </c>
      <c r="P36" s="24">
        <f>P32*P6*P13</f>
        <v/>
      </c>
      <c r="Q36" s="24">
        <f>Q32*Q6*Q13</f>
        <v/>
      </c>
      <c r="R36" s="24">
        <f>R32*R6*R13</f>
        <v/>
      </c>
      <c r="S36" s="24">
        <f>S32*S6*S13</f>
        <v/>
      </c>
      <c r="T36" s="24">
        <f>T32*T6*T13</f>
        <v/>
      </c>
      <c r="U36" s="24">
        <f>U32*U6*U13</f>
        <v/>
      </c>
      <c r="V36" s="24">
        <f>V32*V6*V13</f>
        <v/>
      </c>
    </row>
    <row r="37">
      <c r="A37" s="10" t="inlineStr">
        <is>
          <t>Municipal Bonds</t>
        </is>
      </c>
      <c r="B37" s="20" t="n"/>
      <c r="C37" s="24">
        <f>C32*C7*C14</f>
        <v/>
      </c>
      <c r="D37" s="24">
        <f>D32*D7*D14</f>
        <v/>
      </c>
      <c r="E37" s="24">
        <f>E32*E7*E14</f>
        <v/>
      </c>
      <c r="F37" s="24">
        <f>F32*F7*F14</f>
        <v/>
      </c>
      <c r="G37" s="24">
        <f>G32*G7*G14</f>
        <v/>
      </c>
      <c r="H37" s="24">
        <f>H32*H7*H14</f>
        <v/>
      </c>
      <c r="I37" s="24">
        <f>I32*I7*I14</f>
        <v/>
      </c>
      <c r="J37" s="24">
        <f>J32*J7*J14</f>
        <v/>
      </c>
      <c r="K37" s="24">
        <f>K32*K7*K14</f>
        <v/>
      </c>
      <c r="L37" s="24">
        <f>L32*L7*L14</f>
        <v/>
      </c>
      <c r="M37" s="24">
        <f>M32*M7*M14</f>
        <v/>
      </c>
      <c r="N37" s="24">
        <f>N32*N7*N14</f>
        <v/>
      </c>
      <c r="O37" s="24">
        <f>O32*O7*O14</f>
        <v/>
      </c>
      <c r="P37" s="24">
        <f>P32*P7*P14</f>
        <v/>
      </c>
      <c r="Q37" s="24">
        <f>Q32*Q7*Q14</f>
        <v/>
      </c>
      <c r="R37" s="24">
        <f>R32*R7*R14</f>
        <v/>
      </c>
      <c r="S37" s="24">
        <f>S32*S7*S14</f>
        <v/>
      </c>
      <c r="T37" s="24">
        <f>T32*T7*T14</f>
        <v/>
      </c>
      <c r="U37" s="24">
        <f>U32*U7*U14</f>
        <v/>
      </c>
      <c r="V37" s="24">
        <f>V32*V7*V14</f>
        <v/>
      </c>
    </row>
    <row r="38">
      <c r="A38" s="10" t="inlineStr">
        <is>
          <t>JVs</t>
        </is>
      </c>
      <c r="B38" s="20" t="n"/>
      <c r="C38" s="24">
        <f>C32*C8*C15</f>
        <v/>
      </c>
      <c r="D38" s="24">
        <f>D32*D8*D15</f>
        <v/>
      </c>
      <c r="E38" s="24">
        <f>E32*E8*E15</f>
        <v/>
      </c>
      <c r="F38" s="24">
        <f>F32*F8*F15</f>
        <v/>
      </c>
      <c r="G38" s="24">
        <f>G32*G8*G15</f>
        <v/>
      </c>
      <c r="H38" s="24">
        <f>H32*H8*H15</f>
        <v/>
      </c>
      <c r="I38" s="24">
        <f>I32*I8*I15</f>
        <v/>
      </c>
      <c r="J38" s="24">
        <f>J32*J8*J15</f>
        <v/>
      </c>
      <c r="K38" s="24">
        <f>K32*K8*K15</f>
        <v/>
      </c>
      <c r="L38" s="24">
        <f>L32*L8*L15</f>
        <v/>
      </c>
      <c r="M38" s="24">
        <f>M32*M8*M15</f>
        <v/>
      </c>
      <c r="N38" s="24">
        <f>N32*N8*N15</f>
        <v/>
      </c>
      <c r="O38" s="24">
        <f>O32*O8*O15</f>
        <v/>
      </c>
      <c r="P38" s="24">
        <f>P32*P8*P15</f>
        <v/>
      </c>
      <c r="Q38" s="24">
        <f>Q32*Q8*Q15</f>
        <v/>
      </c>
      <c r="R38" s="24">
        <f>R32*R8*R15</f>
        <v/>
      </c>
      <c r="S38" s="24">
        <f>S32*S8*S15</f>
        <v/>
      </c>
      <c r="T38" s="24">
        <f>T32*T8*T15</f>
        <v/>
      </c>
      <c r="U38" s="24">
        <f>U32*U8*U15</f>
        <v/>
      </c>
      <c r="V38" s="24">
        <f>V32*V8*V15</f>
        <v/>
      </c>
    </row>
    <row r="39">
      <c r="A39" s="10" t="inlineStr">
        <is>
          <t>Securitization Residuals (B-Pieces)</t>
        </is>
      </c>
      <c r="B39" s="20" t="n"/>
      <c r="C39" s="24">
        <f>C32*C9*C16</f>
        <v/>
      </c>
      <c r="D39" s="24">
        <f>D32*D9*D16</f>
        <v/>
      </c>
      <c r="E39" s="24">
        <f>E32*E9*E16</f>
        <v/>
      </c>
      <c r="F39" s="24">
        <f>F32*F9*F16</f>
        <v/>
      </c>
      <c r="G39" s="24">
        <f>G32*G9*G16</f>
        <v/>
      </c>
      <c r="H39" s="24">
        <f>H32*H9*H16</f>
        <v/>
      </c>
      <c r="I39" s="24">
        <f>I32*I9*I16</f>
        <v/>
      </c>
      <c r="J39" s="24">
        <f>J32*J9*J16</f>
        <v/>
      </c>
      <c r="K39" s="24">
        <f>K32*K9*K16</f>
        <v/>
      </c>
      <c r="L39" s="24">
        <f>L32*L9*L16</f>
        <v/>
      </c>
      <c r="M39" s="24">
        <f>M32*M9*M16</f>
        <v/>
      </c>
      <c r="N39" s="24">
        <f>N32*N9*N16</f>
        <v/>
      </c>
      <c r="O39" s="24">
        <f>O32*O9*O16</f>
        <v/>
      </c>
      <c r="P39" s="24">
        <f>P32*P9*P16</f>
        <v/>
      </c>
      <c r="Q39" s="24">
        <f>Q32*Q9*Q16</f>
        <v/>
      </c>
      <c r="R39" s="24">
        <f>R32*R9*R16</f>
        <v/>
      </c>
      <c r="S39" s="24">
        <f>S32*S9*S16</f>
        <v/>
      </c>
      <c r="T39" s="24">
        <f>T32*T9*T16</f>
        <v/>
      </c>
      <c r="U39" s="24">
        <f>U32*U9*U16</f>
        <v/>
      </c>
      <c r="V39" s="24">
        <f>V32*V9*V16</f>
        <v/>
      </c>
    </row>
    <row r="40">
      <c r="A40" s="10" t="inlineStr">
        <is>
          <t>Cash</t>
        </is>
      </c>
      <c r="B40" s="20" t="n"/>
      <c r="C40" s="24">
        <f>C32*C10*C17</f>
        <v/>
      </c>
      <c r="D40" s="24">
        <f>D32*D10*D17</f>
        <v/>
      </c>
      <c r="E40" s="24">
        <f>E32*E10*E17</f>
        <v/>
      </c>
      <c r="F40" s="24">
        <f>F32*F10*F17</f>
        <v/>
      </c>
      <c r="G40" s="24">
        <f>G32*G10*G17</f>
        <v/>
      </c>
      <c r="H40" s="24">
        <f>H32*H10*H17</f>
        <v/>
      </c>
      <c r="I40" s="24">
        <f>I32*I10*I17</f>
        <v/>
      </c>
      <c r="J40" s="24">
        <f>J32*J10*J17</f>
        <v/>
      </c>
      <c r="K40" s="24">
        <f>K32*K10*K17</f>
        <v/>
      </c>
      <c r="L40" s="24">
        <f>L32*L10*L17</f>
        <v/>
      </c>
      <c r="M40" s="24">
        <f>M32*M10*M17</f>
        <v/>
      </c>
      <c r="N40" s="24">
        <f>N32*N10*N17</f>
        <v/>
      </c>
      <c r="O40" s="24">
        <f>O32*O10*O17</f>
        <v/>
      </c>
      <c r="P40" s="24">
        <f>P32*P10*P17</f>
        <v/>
      </c>
      <c r="Q40" s="24">
        <f>Q32*Q10*Q17</f>
        <v/>
      </c>
      <c r="R40" s="24">
        <f>R32*R10*R17</f>
        <v/>
      </c>
      <c r="S40" s="24">
        <f>S32*S10*S17</f>
        <v/>
      </c>
      <c r="T40" s="24">
        <f>T32*T10*T17</f>
        <v/>
      </c>
      <c r="U40" s="24">
        <f>U32*U10*U17</f>
        <v/>
      </c>
      <c r="V40" s="24">
        <f>V32*V10*V17</f>
        <v/>
      </c>
    </row>
    <row r="41">
      <c r="A41" s="21" t="inlineStr">
        <is>
          <t>Total Asset Income</t>
        </is>
      </c>
      <c r="B41" s="20" t="n"/>
      <c r="C41" s="25">
        <f>SUM(C36:C40)</f>
        <v/>
      </c>
      <c r="D41" s="25">
        <f>SUM(D36:D40)</f>
        <v/>
      </c>
      <c r="E41" s="25">
        <f>SUM(E36:E40)</f>
        <v/>
      </c>
      <c r="F41" s="25">
        <f>SUM(F36:F40)</f>
        <v/>
      </c>
      <c r="G41" s="25">
        <f>SUM(G36:G40)</f>
        <v/>
      </c>
      <c r="H41" s="25">
        <f>SUM(H36:H40)</f>
        <v/>
      </c>
      <c r="I41" s="25">
        <f>SUM(I36:I40)</f>
        <v/>
      </c>
      <c r="J41" s="25">
        <f>SUM(J36:J40)</f>
        <v/>
      </c>
      <c r="K41" s="25">
        <f>SUM(K36:K40)</f>
        <v/>
      </c>
      <c r="L41" s="25">
        <f>SUM(L36:L40)</f>
        <v/>
      </c>
      <c r="M41" s="25">
        <f>SUM(M36:M40)</f>
        <v/>
      </c>
      <c r="N41" s="25">
        <f>SUM(N36:N40)</f>
        <v/>
      </c>
      <c r="O41" s="25">
        <f>SUM(O36:O40)</f>
        <v/>
      </c>
      <c r="P41" s="25">
        <f>SUM(P36:P40)</f>
        <v/>
      </c>
      <c r="Q41" s="25">
        <f>SUM(Q36:Q40)</f>
        <v/>
      </c>
      <c r="R41" s="25">
        <f>SUM(R36:R40)</f>
        <v/>
      </c>
      <c r="S41" s="25">
        <f>SUM(S36:S40)</f>
        <v/>
      </c>
      <c r="T41" s="25">
        <f>SUM(T36:T40)</f>
        <v/>
      </c>
      <c r="U41" s="25">
        <f>SUM(U36:U40)</f>
        <v/>
      </c>
      <c r="V41" s="25">
        <f>SUM(V36:V40)</f>
        <v/>
      </c>
    </row>
    <row r="43">
      <c r="A43" s="3" t="inlineStr">
        <is>
          <t>LEVERAGE (LIHTC LOANS ONLY)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>
      <c r="A44" s="10" t="inlineStr">
        <is>
          <t>LIHTC Loan AUM</t>
        </is>
      </c>
      <c r="B44" s="18" t="inlineStr">
        <is>
          <t>$</t>
        </is>
      </c>
      <c r="C44" s="24">
        <f>C32*C6</f>
        <v/>
      </c>
      <c r="D44" s="24">
        <f>D32*D6</f>
        <v/>
      </c>
      <c r="E44" s="24">
        <f>E32*E6</f>
        <v/>
      </c>
      <c r="F44" s="24">
        <f>F32*F6</f>
        <v/>
      </c>
      <c r="G44" s="24">
        <f>G32*G6</f>
        <v/>
      </c>
      <c r="H44" s="24">
        <f>H32*H6</f>
        <v/>
      </c>
      <c r="I44" s="24">
        <f>I32*I6</f>
        <v/>
      </c>
      <c r="J44" s="24">
        <f>J32*J6</f>
        <v/>
      </c>
      <c r="K44" s="24">
        <f>K32*K6</f>
        <v/>
      </c>
      <c r="L44" s="24">
        <f>L32*L6</f>
        <v/>
      </c>
      <c r="M44" s="24">
        <f>M32*M6</f>
        <v/>
      </c>
      <c r="N44" s="24">
        <f>N32*N6</f>
        <v/>
      </c>
      <c r="O44" s="24">
        <f>O32*O6</f>
        <v/>
      </c>
      <c r="P44" s="24">
        <f>P32*P6</f>
        <v/>
      </c>
      <c r="Q44" s="24">
        <f>Q32*Q6</f>
        <v/>
      </c>
      <c r="R44" s="24">
        <f>R32*R6</f>
        <v/>
      </c>
      <c r="S44" s="24">
        <f>S32*S6</f>
        <v/>
      </c>
      <c r="T44" s="24">
        <f>T32*T6</f>
        <v/>
      </c>
      <c r="U44" s="24">
        <f>U32*U6</f>
        <v/>
      </c>
      <c r="V44" s="24">
        <f>V32*V6</f>
        <v/>
      </c>
    </row>
    <row r="45">
      <c r="A45" s="10" t="inlineStr">
        <is>
          <t>Leveraged Amount</t>
        </is>
      </c>
      <c r="B45" s="20" t="n"/>
      <c r="C45" s="24">
        <f>C44*C20</f>
        <v/>
      </c>
      <c r="D45" s="24">
        <f>D44*D20</f>
        <v/>
      </c>
      <c r="E45" s="24">
        <f>E44*E20</f>
        <v/>
      </c>
      <c r="F45" s="24">
        <f>F44*F20</f>
        <v/>
      </c>
      <c r="G45" s="24">
        <f>G44*G20</f>
        <v/>
      </c>
      <c r="H45" s="24">
        <f>H44*H20</f>
        <v/>
      </c>
      <c r="I45" s="24">
        <f>I44*I20</f>
        <v/>
      </c>
      <c r="J45" s="24">
        <f>J44*J20</f>
        <v/>
      </c>
      <c r="K45" s="24">
        <f>K44*K20</f>
        <v/>
      </c>
      <c r="L45" s="24">
        <f>L44*L20</f>
        <v/>
      </c>
      <c r="M45" s="24">
        <f>M44*M20</f>
        <v/>
      </c>
      <c r="N45" s="24">
        <f>N44*N20</f>
        <v/>
      </c>
      <c r="O45" s="24">
        <f>O44*O20</f>
        <v/>
      </c>
      <c r="P45" s="24">
        <f>P44*P20</f>
        <v/>
      </c>
      <c r="Q45" s="24">
        <f>Q44*Q20</f>
        <v/>
      </c>
      <c r="R45" s="24">
        <f>R44*R20</f>
        <v/>
      </c>
      <c r="S45" s="24">
        <f>S44*S20</f>
        <v/>
      </c>
      <c r="T45" s="24">
        <f>T44*T20</f>
        <v/>
      </c>
      <c r="U45" s="24">
        <f>U44*U20</f>
        <v/>
      </c>
      <c r="V45" s="24">
        <f>V44*V20</f>
        <v/>
      </c>
    </row>
    <row r="46">
      <c r="A46" s="26" t="inlineStr">
        <is>
          <t>Repo Portion</t>
        </is>
      </c>
      <c r="B46" s="20" t="n"/>
      <c r="C46" s="24">
        <f>C45*C21</f>
        <v/>
      </c>
      <c r="D46" s="24">
        <f>D45*D21</f>
        <v/>
      </c>
      <c r="E46" s="24">
        <f>E45*E21</f>
        <v/>
      </c>
      <c r="F46" s="24">
        <f>F45*F21</f>
        <v/>
      </c>
      <c r="G46" s="24">
        <f>G45*G21</f>
        <v/>
      </c>
      <c r="H46" s="24">
        <f>H45*H21</f>
        <v/>
      </c>
      <c r="I46" s="24">
        <f>I45*I21</f>
        <v/>
      </c>
      <c r="J46" s="24">
        <f>J45*J21</f>
        <v/>
      </c>
      <c r="K46" s="24">
        <f>K45*K21</f>
        <v/>
      </c>
      <c r="L46" s="24">
        <f>L45*L21</f>
        <v/>
      </c>
      <c r="M46" s="24">
        <f>M45*M21</f>
        <v/>
      </c>
      <c r="N46" s="24">
        <f>N45*N21</f>
        <v/>
      </c>
      <c r="O46" s="24">
        <f>O45*O21</f>
        <v/>
      </c>
      <c r="P46" s="24">
        <f>P45*P21</f>
        <v/>
      </c>
      <c r="Q46" s="24">
        <f>Q45*Q21</f>
        <v/>
      </c>
      <c r="R46" s="24">
        <f>R45*R21</f>
        <v/>
      </c>
      <c r="S46" s="24">
        <f>S45*S21</f>
        <v/>
      </c>
      <c r="T46" s="24">
        <f>T45*T21</f>
        <v/>
      </c>
      <c r="U46" s="24">
        <f>U45*U21</f>
        <v/>
      </c>
      <c r="V46" s="24">
        <f>V45*V21</f>
        <v/>
      </c>
    </row>
    <row r="47">
      <c r="A47" s="26" t="inlineStr">
        <is>
          <t>TOB Portion</t>
        </is>
      </c>
      <c r="B47" s="20" t="n"/>
      <c r="C47" s="24">
        <f>C45*(1-C21)</f>
        <v/>
      </c>
      <c r="D47" s="24">
        <f>D45*(1-D21)</f>
        <v/>
      </c>
      <c r="E47" s="24">
        <f>E45*(1-E21)</f>
        <v/>
      </c>
      <c r="F47" s="24">
        <f>F45*(1-F21)</f>
        <v/>
      </c>
      <c r="G47" s="24">
        <f>G45*(1-G21)</f>
        <v/>
      </c>
      <c r="H47" s="24">
        <f>H45*(1-H21)</f>
        <v/>
      </c>
      <c r="I47" s="24">
        <f>I45*(1-I21)</f>
        <v/>
      </c>
      <c r="J47" s="24">
        <f>J45*(1-J21)</f>
        <v/>
      </c>
      <c r="K47" s="24">
        <f>K45*(1-K21)</f>
        <v/>
      </c>
      <c r="L47" s="24">
        <f>L45*(1-L21)</f>
        <v/>
      </c>
      <c r="M47" s="24">
        <f>M45*(1-M21)</f>
        <v/>
      </c>
      <c r="N47" s="24">
        <f>N45*(1-N21)</f>
        <v/>
      </c>
      <c r="O47" s="24">
        <f>O45*(1-O21)</f>
        <v/>
      </c>
      <c r="P47" s="24">
        <f>P45*(1-P21)</f>
        <v/>
      </c>
      <c r="Q47" s="24">
        <f>Q45*(1-Q21)</f>
        <v/>
      </c>
      <c r="R47" s="24">
        <f>R45*(1-R21)</f>
        <v/>
      </c>
      <c r="S47" s="24">
        <f>S45*(1-S21)</f>
        <v/>
      </c>
      <c r="T47" s="24">
        <f>T45*(1-T21)</f>
        <v/>
      </c>
      <c r="U47" s="24">
        <f>U45*(1-U21)</f>
        <v/>
      </c>
      <c r="V47" s="24">
        <f>V45*(1-V21)</f>
        <v/>
      </c>
    </row>
    <row r="48">
      <c r="A48" s="26" t="inlineStr">
        <is>
          <t>Repo Financing Cost</t>
        </is>
      </c>
      <c r="B48" s="20" t="n"/>
      <c r="C48" s="24">
        <f>C46*'Market Rates'!C13</f>
        <v/>
      </c>
      <c r="D48" s="24">
        <f>D46*'Market Rates'!D13</f>
        <v/>
      </c>
      <c r="E48" s="24">
        <f>E46*'Market Rates'!E13</f>
        <v/>
      </c>
      <c r="F48" s="24">
        <f>F46*'Market Rates'!F13</f>
        <v/>
      </c>
      <c r="G48" s="24">
        <f>G46*'Market Rates'!G13</f>
        <v/>
      </c>
      <c r="H48" s="24">
        <f>H46*'Market Rates'!H13</f>
        <v/>
      </c>
      <c r="I48" s="24">
        <f>I46*'Market Rates'!I13</f>
        <v/>
      </c>
      <c r="J48" s="24">
        <f>J46*'Market Rates'!J13</f>
        <v/>
      </c>
      <c r="K48" s="24">
        <f>K46*'Market Rates'!K13</f>
        <v/>
      </c>
      <c r="L48" s="24">
        <f>L46*'Market Rates'!L13</f>
        <v/>
      </c>
      <c r="M48" s="24">
        <f>M46*'Market Rates'!M13</f>
        <v/>
      </c>
      <c r="N48" s="24">
        <f>N46*'Market Rates'!N13</f>
        <v/>
      </c>
      <c r="O48" s="24">
        <f>O46*'Market Rates'!O13</f>
        <v/>
      </c>
      <c r="P48" s="24">
        <f>P46*'Market Rates'!P13</f>
        <v/>
      </c>
      <c r="Q48" s="24">
        <f>Q46*'Market Rates'!Q13</f>
        <v/>
      </c>
      <c r="R48" s="24">
        <f>R46*'Market Rates'!R13</f>
        <v/>
      </c>
      <c r="S48" s="24">
        <f>S46*'Market Rates'!S13</f>
        <v/>
      </c>
      <c r="T48" s="24">
        <f>T46*'Market Rates'!T13</f>
        <v/>
      </c>
      <c r="U48" s="24">
        <f>U46*'Market Rates'!U13</f>
        <v/>
      </c>
      <c r="V48" s="24">
        <f>V46*'Market Rates'!V13</f>
        <v/>
      </c>
    </row>
    <row r="49">
      <c r="A49" s="26" t="inlineStr">
        <is>
          <t>TOB Financing Cost</t>
        </is>
      </c>
      <c r="B49" s="20" t="n"/>
      <c r="C49" s="24">
        <f>C47*'Market Rates'!C14</f>
        <v/>
      </c>
      <c r="D49" s="24">
        <f>D47*'Market Rates'!D14</f>
        <v/>
      </c>
      <c r="E49" s="24">
        <f>E47*'Market Rates'!E14</f>
        <v/>
      </c>
      <c r="F49" s="24">
        <f>F47*'Market Rates'!F14</f>
        <v/>
      </c>
      <c r="G49" s="24">
        <f>G47*'Market Rates'!G14</f>
        <v/>
      </c>
      <c r="H49" s="24">
        <f>H47*'Market Rates'!H14</f>
        <v/>
      </c>
      <c r="I49" s="24">
        <f>I47*'Market Rates'!I14</f>
        <v/>
      </c>
      <c r="J49" s="24">
        <f>J47*'Market Rates'!J14</f>
        <v/>
      </c>
      <c r="K49" s="24">
        <f>K47*'Market Rates'!K14</f>
        <v/>
      </c>
      <c r="L49" s="24">
        <f>L47*'Market Rates'!L14</f>
        <v/>
      </c>
      <c r="M49" s="24">
        <f>M47*'Market Rates'!M14</f>
        <v/>
      </c>
      <c r="N49" s="24">
        <f>N47*'Market Rates'!N14</f>
        <v/>
      </c>
      <c r="O49" s="24">
        <f>O47*'Market Rates'!O14</f>
        <v/>
      </c>
      <c r="P49" s="24">
        <f>P47*'Market Rates'!P14</f>
        <v/>
      </c>
      <c r="Q49" s="24">
        <f>Q47*'Market Rates'!Q14</f>
        <v/>
      </c>
      <c r="R49" s="24">
        <f>R47*'Market Rates'!R14</f>
        <v/>
      </c>
      <c r="S49" s="24">
        <f>S47*'Market Rates'!S14</f>
        <v/>
      </c>
      <c r="T49" s="24">
        <f>T47*'Market Rates'!T14</f>
        <v/>
      </c>
      <c r="U49" s="24">
        <f>U47*'Market Rates'!U14</f>
        <v/>
      </c>
      <c r="V49" s="24">
        <f>V47*'Market Rates'!V14</f>
        <v/>
      </c>
    </row>
    <row r="50">
      <c r="A50" s="10" t="inlineStr">
        <is>
          <t>Total Financing Cost</t>
        </is>
      </c>
      <c r="B50" s="20" t="n"/>
      <c r="C50" s="24">
        <f>C48+C49</f>
        <v/>
      </c>
      <c r="D50" s="24">
        <f>D48+D49</f>
        <v/>
      </c>
      <c r="E50" s="24">
        <f>E48+E49</f>
        <v/>
      </c>
      <c r="F50" s="24">
        <f>F48+F49</f>
        <v/>
      </c>
      <c r="G50" s="24">
        <f>G48+G49</f>
        <v/>
      </c>
      <c r="H50" s="24">
        <f>H48+H49</f>
        <v/>
      </c>
      <c r="I50" s="24">
        <f>I48+I49</f>
        <v/>
      </c>
      <c r="J50" s="24">
        <f>J48+J49</f>
        <v/>
      </c>
      <c r="K50" s="24">
        <f>K48+K49</f>
        <v/>
      </c>
      <c r="L50" s="24">
        <f>L48+L49</f>
        <v/>
      </c>
      <c r="M50" s="24">
        <f>M48+M49</f>
        <v/>
      </c>
      <c r="N50" s="24">
        <f>N48+N49</f>
        <v/>
      </c>
      <c r="O50" s="24">
        <f>O48+O49</f>
        <v/>
      </c>
      <c r="P50" s="24">
        <f>P48+P49</f>
        <v/>
      </c>
      <c r="Q50" s="24">
        <f>Q48+Q49</f>
        <v/>
      </c>
      <c r="R50" s="24">
        <f>R48+R49</f>
        <v/>
      </c>
      <c r="S50" s="24">
        <f>S48+S49</f>
        <v/>
      </c>
      <c r="T50" s="24">
        <f>T48+T49</f>
        <v/>
      </c>
      <c r="U50" s="24">
        <f>U48+U49</f>
        <v/>
      </c>
      <c r="V50" s="24">
        <f>V48+V49</f>
        <v/>
      </c>
    </row>
    <row r="51">
      <c r="A51" s="10" t="inlineStr">
        <is>
          <t>Gross Leverage Income</t>
        </is>
      </c>
      <c r="B51" s="20" t="n"/>
      <c r="C51" s="24">
        <f>C45*C13</f>
        <v/>
      </c>
      <c r="D51" s="24">
        <f>D45*D13</f>
        <v/>
      </c>
      <c r="E51" s="24">
        <f>E45*E13</f>
        <v/>
      </c>
      <c r="F51" s="24">
        <f>F45*F13</f>
        <v/>
      </c>
      <c r="G51" s="24">
        <f>G45*G13</f>
        <v/>
      </c>
      <c r="H51" s="24">
        <f>H45*H13</f>
        <v/>
      </c>
      <c r="I51" s="24">
        <f>I45*I13</f>
        <v/>
      </c>
      <c r="J51" s="24">
        <f>J45*J13</f>
        <v/>
      </c>
      <c r="K51" s="24">
        <f>K45*K13</f>
        <v/>
      </c>
      <c r="L51" s="24">
        <f>L45*L13</f>
        <v/>
      </c>
      <c r="M51" s="24">
        <f>M45*M13</f>
        <v/>
      </c>
      <c r="N51" s="24">
        <f>N45*N13</f>
        <v/>
      </c>
      <c r="O51" s="24">
        <f>O45*O13</f>
        <v/>
      </c>
      <c r="P51" s="24">
        <f>P45*P13</f>
        <v/>
      </c>
      <c r="Q51" s="24">
        <f>Q45*Q13</f>
        <v/>
      </c>
      <c r="R51" s="24">
        <f>R45*R13</f>
        <v/>
      </c>
      <c r="S51" s="24">
        <f>S45*S13</f>
        <v/>
      </c>
      <c r="T51" s="24">
        <f>T45*T13</f>
        <v/>
      </c>
      <c r="U51" s="24">
        <f>U45*U13</f>
        <v/>
      </c>
      <c r="V51" s="24">
        <f>V45*V13</f>
        <v/>
      </c>
    </row>
    <row r="52">
      <c r="A52" s="21" t="inlineStr">
        <is>
          <t>Net Leverage Income</t>
        </is>
      </c>
      <c r="B52" s="20" t="n"/>
      <c r="C52" s="25">
        <f>C51-C50</f>
        <v/>
      </c>
      <c r="D52" s="25">
        <f>D51-D50</f>
        <v/>
      </c>
      <c r="E52" s="25">
        <f>E51-E50</f>
        <v/>
      </c>
      <c r="F52" s="25">
        <f>F51-F50</f>
        <v/>
      </c>
      <c r="G52" s="25">
        <f>G51-G50</f>
        <v/>
      </c>
      <c r="H52" s="25">
        <f>H51-H50</f>
        <v/>
      </c>
      <c r="I52" s="25">
        <f>I51-I50</f>
        <v/>
      </c>
      <c r="J52" s="25">
        <f>J51-J50</f>
        <v/>
      </c>
      <c r="K52" s="25">
        <f>K51-K50</f>
        <v/>
      </c>
      <c r="L52" s="25">
        <f>L51-L50</f>
        <v/>
      </c>
      <c r="M52" s="25">
        <f>M51-M50</f>
        <v/>
      </c>
      <c r="N52" s="25">
        <f>N51-N50</f>
        <v/>
      </c>
      <c r="O52" s="25">
        <f>O51-O50</f>
        <v/>
      </c>
      <c r="P52" s="25">
        <f>P51-P50</f>
        <v/>
      </c>
      <c r="Q52" s="25">
        <f>Q51-Q50</f>
        <v/>
      </c>
      <c r="R52" s="25">
        <f>R51-R50</f>
        <v/>
      </c>
      <c r="S52" s="25">
        <f>S51-S50</f>
        <v/>
      </c>
      <c r="T52" s="25">
        <f>T51-T50</f>
        <v/>
      </c>
      <c r="U52" s="25">
        <f>U51-U50</f>
        <v/>
      </c>
      <c r="V52" s="25">
        <f>V51-V50</f>
        <v/>
      </c>
    </row>
    <row r="54">
      <c r="A54" s="3" t="inlineStr">
        <is>
          <t>SECURITIZATION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</row>
    <row r="55">
      <c r="A55" s="8" t="inlineStr">
        <is>
          <t>Loan Securitization Waterfall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</row>
    <row r="56">
      <c r="A56" s="10" t="inlineStr">
        <is>
          <t>Loan Pool for Securitization</t>
        </is>
      </c>
      <c r="B56" s="18" t="inlineStr">
        <is>
          <t>$</t>
        </is>
      </c>
      <c r="C56" s="24">
        <f>C32*C6*C24</f>
        <v/>
      </c>
      <c r="D56" s="24">
        <f>D32*D6*D24</f>
        <v/>
      </c>
      <c r="E56" s="24">
        <f>E32*E6*E24</f>
        <v/>
      </c>
      <c r="F56" s="24">
        <f>F32*F6*F24</f>
        <v/>
      </c>
      <c r="G56" s="24">
        <f>G32*G6*G24</f>
        <v/>
      </c>
      <c r="H56" s="24">
        <f>H32*H6*H24</f>
        <v/>
      </c>
      <c r="I56" s="24">
        <f>I32*I6*I24</f>
        <v/>
      </c>
      <c r="J56" s="24">
        <f>J32*J6*J24</f>
        <v/>
      </c>
      <c r="K56" s="24">
        <f>K32*K6*K24</f>
        <v/>
      </c>
      <c r="L56" s="24">
        <f>L32*L6*L24</f>
        <v/>
      </c>
      <c r="M56" s="24">
        <f>M32*M6*M24</f>
        <v/>
      </c>
      <c r="N56" s="24">
        <f>N32*N6*N24</f>
        <v/>
      </c>
      <c r="O56" s="24">
        <f>O32*O6*O24</f>
        <v/>
      </c>
      <c r="P56" s="24">
        <f>P32*P6*P24</f>
        <v/>
      </c>
      <c r="Q56" s="24">
        <f>Q32*Q6*Q24</f>
        <v/>
      </c>
      <c r="R56" s="24">
        <f>R32*R6*R24</f>
        <v/>
      </c>
      <c r="S56" s="24">
        <f>S32*S6*S24</f>
        <v/>
      </c>
      <c r="T56" s="24">
        <f>T32*T6*T24</f>
        <v/>
      </c>
      <c r="U56" s="24">
        <f>U32*U6*U24</f>
        <v/>
      </c>
      <c r="V56" s="24">
        <f>V32*V6*V24</f>
        <v/>
      </c>
    </row>
    <row r="57">
      <c r="A57" s="26" t="inlineStr">
        <is>
          <t>Senior Tranche (Proceeds)</t>
        </is>
      </c>
      <c r="B57" s="20" t="n"/>
      <c r="C57" s="24">
        <f>C56*C25</f>
        <v/>
      </c>
      <c r="D57" s="24">
        <f>D56*D25</f>
        <v/>
      </c>
      <c r="E57" s="24">
        <f>E56*E25</f>
        <v/>
      </c>
      <c r="F57" s="24">
        <f>F56*F25</f>
        <v/>
      </c>
      <c r="G57" s="24">
        <f>G56*G25</f>
        <v/>
      </c>
      <c r="H57" s="24">
        <f>H56*H25</f>
        <v/>
      </c>
      <c r="I57" s="24">
        <f>I56*I25</f>
        <v/>
      </c>
      <c r="J57" s="24">
        <f>J56*J25</f>
        <v/>
      </c>
      <c r="K57" s="24">
        <f>K56*K25</f>
        <v/>
      </c>
      <c r="L57" s="24">
        <f>L56*L25</f>
        <v/>
      </c>
      <c r="M57" s="24">
        <f>M56*M25</f>
        <v/>
      </c>
      <c r="N57" s="24">
        <f>N56*N25</f>
        <v/>
      </c>
      <c r="O57" s="24">
        <f>O56*O25</f>
        <v/>
      </c>
      <c r="P57" s="24">
        <f>P56*P25</f>
        <v/>
      </c>
      <c r="Q57" s="24">
        <f>Q56*Q25</f>
        <v/>
      </c>
      <c r="R57" s="24">
        <f>R56*R25</f>
        <v/>
      </c>
      <c r="S57" s="24">
        <f>S56*S25</f>
        <v/>
      </c>
      <c r="T57" s="24">
        <f>T56*T25</f>
        <v/>
      </c>
      <c r="U57" s="24">
        <f>U56*U25</f>
        <v/>
      </c>
      <c r="V57" s="24">
        <f>V56*V25</f>
        <v/>
      </c>
    </row>
    <row r="58">
      <c r="A58" s="26" t="inlineStr">
        <is>
          <t>Subordinate / Retained Tranche</t>
        </is>
      </c>
      <c r="B58" s="20" t="n"/>
      <c r="C58" s="24">
        <f>C56-C57</f>
        <v/>
      </c>
      <c r="D58" s="24">
        <f>D56-D57</f>
        <v/>
      </c>
      <c r="E58" s="24">
        <f>E56-E57</f>
        <v/>
      </c>
      <c r="F58" s="24">
        <f>F56-F57</f>
        <v/>
      </c>
      <c r="G58" s="24">
        <f>G56-G57</f>
        <v/>
      </c>
      <c r="H58" s="24">
        <f>H56-H57</f>
        <v/>
      </c>
      <c r="I58" s="24">
        <f>I56-I57</f>
        <v/>
      </c>
      <c r="J58" s="24">
        <f>J56-J57</f>
        <v/>
      </c>
      <c r="K58" s="24">
        <f>K56-K57</f>
        <v/>
      </c>
      <c r="L58" s="24">
        <f>L56-L57</f>
        <v/>
      </c>
      <c r="M58" s="24">
        <f>M56-M57</f>
        <v/>
      </c>
      <c r="N58" s="24">
        <f>N56-N57</f>
        <v/>
      </c>
      <c r="O58" s="24">
        <f>O56-O57</f>
        <v/>
      </c>
      <c r="P58" s="24">
        <f>P56-P57</f>
        <v/>
      </c>
      <c r="Q58" s="24">
        <f>Q56-Q57</f>
        <v/>
      </c>
      <c r="R58" s="24">
        <f>R56-R57</f>
        <v/>
      </c>
      <c r="S58" s="24">
        <f>S56-S57</f>
        <v/>
      </c>
      <c r="T58" s="24">
        <f>T56-T57</f>
        <v/>
      </c>
      <c r="U58" s="24">
        <f>U56-U57</f>
        <v/>
      </c>
      <c r="V58" s="24">
        <f>V56-V57</f>
        <v/>
      </c>
    </row>
    <row r="59">
      <c r="A59" s="26" t="inlineStr">
        <is>
          <t>Gross Pool Income</t>
        </is>
      </c>
      <c r="B59" s="20" t="n"/>
      <c r="C59" s="24">
        <f>C56*C13</f>
        <v/>
      </c>
      <c r="D59" s="24">
        <f>D56*D13</f>
        <v/>
      </c>
      <c r="E59" s="24">
        <f>E56*E13</f>
        <v/>
      </c>
      <c r="F59" s="24">
        <f>F56*F13</f>
        <v/>
      </c>
      <c r="G59" s="24">
        <f>G56*G13</f>
        <v/>
      </c>
      <c r="H59" s="24">
        <f>H56*H13</f>
        <v/>
      </c>
      <c r="I59" s="24">
        <f>I56*I13</f>
        <v/>
      </c>
      <c r="J59" s="24">
        <f>J56*J13</f>
        <v/>
      </c>
      <c r="K59" s="24">
        <f>K56*K13</f>
        <v/>
      </c>
      <c r="L59" s="24">
        <f>L56*L13</f>
        <v/>
      </c>
      <c r="M59" s="24">
        <f>M56*M13</f>
        <v/>
      </c>
      <c r="N59" s="24">
        <f>N56*N13</f>
        <v/>
      </c>
      <c r="O59" s="24">
        <f>O56*O13</f>
        <v/>
      </c>
      <c r="P59" s="24">
        <f>P56*P13</f>
        <v/>
      </c>
      <c r="Q59" s="24">
        <f>Q56*Q13</f>
        <v/>
      </c>
      <c r="R59" s="24">
        <f>R56*R13</f>
        <v/>
      </c>
      <c r="S59" s="24">
        <f>S56*S13</f>
        <v/>
      </c>
      <c r="T59" s="24">
        <f>T56*T13</f>
        <v/>
      </c>
      <c r="U59" s="24">
        <f>U56*U13</f>
        <v/>
      </c>
      <c r="V59" s="24">
        <f>V56*V13</f>
        <v/>
      </c>
    </row>
    <row r="60">
      <c r="A60" s="26" t="inlineStr">
        <is>
          <t>Senior Tranche Cost</t>
        </is>
      </c>
      <c r="B60" s="20" t="n"/>
      <c r="C60" s="24">
        <f>C57*'Market Rates'!C13</f>
        <v/>
      </c>
      <c r="D60" s="24">
        <f>D57*'Market Rates'!D13</f>
        <v/>
      </c>
      <c r="E60" s="24">
        <f>E57*'Market Rates'!E13</f>
        <v/>
      </c>
      <c r="F60" s="24">
        <f>F57*'Market Rates'!F13</f>
        <v/>
      </c>
      <c r="G60" s="24">
        <f>G57*'Market Rates'!G13</f>
        <v/>
      </c>
      <c r="H60" s="24">
        <f>H57*'Market Rates'!H13</f>
        <v/>
      </c>
      <c r="I60" s="24">
        <f>I57*'Market Rates'!I13</f>
        <v/>
      </c>
      <c r="J60" s="24">
        <f>J57*'Market Rates'!J13</f>
        <v/>
      </c>
      <c r="K60" s="24">
        <f>K57*'Market Rates'!K13</f>
        <v/>
      </c>
      <c r="L60" s="24">
        <f>L57*'Market Rates'!L13</f>
        <v/>
      </c>
      <c r="M60" s="24">
        <f>M57*'Market Rates'!M13</f>
        <v/>
      </c>
      <c r="N60" s="24">
        <f>N57*'Market Rates'!N13</f>
        <v/>
      </c>
      <c r="O60" s="24">
        <f>O57*'Market Rates'!O13</f>
        <v/>
      </c>
      <c r="P60" s="24">
        <f>P57*'Market Rates'!P13</f>
        <v/>
      </c>
      <c r="Q60" s="24">
        <f>Q57*'Market Rates'!Q13</f>
        <v/>
      </c>
      <c r="R60" s="24">
        <f>R57*'Market Rates'!R13</f>
        <v/>
      </c>
      <c r="S60" s="24">
        <f>S57*'Market Rates'!S13</f>
        <v/>
      </c>
      <c r="T60" s="24">
        <f>T57*'Market Rates'!T13</f>
        <v/>
      </c>
      <c r="U60" s="24">
        <f>U57*'Market Rates'!U13</f>
        <v/>
      </c>
      <c r="V60" s="24">
        <f>V57*'Market Rates'!V13</f>
        <v/>
      </c>
    </row>
    <row r="61">
      <c r="A61" s="26" t="inlineStr">
        <is>
          <t>Excess Spread</t>
        </is>
      </c>
      <c r="B61" s="20" t="n"/>
      <c r="C61" s="24">
        <f>C59-C60</f>
        <v/>
      </c>
      <c r="D61" s="24">
        <f>D59-D60</f>
        <v/>
      </c>
      <c r="E61" s="24">
        <f>E59-E60</f>
        <v/>
      </c>
      <c r="F61" s="24">
        <f>F59-F60</f>
        <v/>
      </c>
      <c r="G61" s="24">
        <f>G59-G60</f>
        <v/>
      </c>
      <c r="H61" s="24">
        <f>H59-H60</f>
        <v/>
      </c>
      <c r="I61" s="24">
        <f>I59-I60</f>
        <v/>
      </c>
      <c r="J61" s="24">
        <f>J59-J60</f>
        <v/>
      </c>
      <c r="K61" s="24">
        <f>K59-K60</f>
        <v/>
      </c>
      <c r="L61" s="24">
        <f>L59-L60</f>
        <v/>
      </c>
      <c r="M61" s="24">
        <f>M59-M60</f>
        <v/>
      </c>
      <c r="N61" s="24">
        <f>N59-N60</f>
        <v/>
      </c>
      <c r="O61" s="24">
        <f>O59-O60</f>
        <v/>
      </c>
      <c r="P61" s="24">
        <f>P59-P60</f>
        <v/>
      </c>
      <c r="Q61" s="24">
        <f>Q59-Q60</f>
        <v/>
      </c>
      <c r="R61" s="24">
        <f>R59-R60</f>
        <v/>
      </c>
      <c r="S61" s="24">
        <f>S59-S60</f>
        <v/>
      </c>
      <c r="T61" s="24">
        <f>T59-T60</f>
        <v/>
      </c>
      <c r="U61" s="24">
        <f>U59-U60</f>
        <v/>
      </c>
      <c r="V61" s="24">
        <f>V59-V60</f>
        <v/>
      </c>
    </row>
    <row r="62">
      <c r="A62" s="26" t="inlineStr">
        <is>
          <t>Issuance Cost</t>
        </is>
      </c>
      <c r="B62" s="20" t="n"/>
      <c r="C62" s="24">
        <f>C56*C26/10000</f>
        <v/>
      </c>
      <c r="D62" s="24">
        <f>D56*D26/10000</f>
        <v/>
      </c>
      <c r="E62" s="24">
        <f>E56*E26/10000</f>
        <v/>
      </c>
      <c r="F62" s="24">
        <f>F56*F26/10000</f>
        <v/>
      </c>
      <c r="G62" s="24">
        <f>G56*G26/10000</f>
        <v/>
      </c>
      <c r="H62" s="24">
        <f>H56*H26/10000</f>
        <v/>
      </c>
      <c r="I62" s="24">
        <f>I56*I26/10000</f>
        <v/>
      </c>
      <c r="J62" s="24">
        <f>J56*J26/10000</f>
        <v/>
      </c>
      <c r="K62" s="24">
        <f>K56*K26/10000</f>
        <v/>
      </c>
      <c r="L62" s="24">
        <f>L56*L26/10000</f>
        <v/>
      </c>
      <c r="M62" s="24">
        <f>M56*M26/10000</f>
        <v/>
      </c>
      <c r="N62" s="24">
        <f>N56*N26/10000</f>
        <v/>
      </c>
      <c r="O62" s="24">
        <f>O56*O26/10000</f>
        <v/>
      </c>
      <c r="P62" s="24">
        <f>P56*P26/10000</f>
        <v/>
      </c>
      <c r="Q62" s="24">
        <f>Q56*Q26/10000</f>
        <v/>
      </c>
      <c r="R62" s="24">
        <f>R56*R26/10000</f>
        <v/>
      </c>
      <c r="S62" s="24">
        <f>S56*S26/10000</f>
        <v/>
      </c>
      <c r="T62" s="24">
        <f>T56*T26/10000</f>
        <v/>
      </c>
      <c r="U62" s="24">
        <f>U56*U26/10000</f>
        <v/>
      </c>
      <c r="V62" s="24">
        <f>V56*V26/10000</f>
        <v/>
      </c>
    </row>
    <row r="63">
      <c r="A63" s="21" t="inlineStr">
        <is>
          <t>Net Loan Securitization Income</t>
        </is>
      </c>
      <c r="B63" s="20" t="n"/>
      <c r="C63" s="25">
        <f>C61-C62</f>
        <v/>
      </c>
      <c r="D63" s="25">
        <f>D61-D62</f>
        <v/>
      </c>
      <c r="E63" s="25">
        <f>E61-E62</f>
        <v/>
      </c>
      <c r="F63" s="25">
        <f>F61-F62</f>
        <v/>
      </c>
      <c r="G63" s="25">
        <f>G61-G62</f>
        <v/>
      </c>
      <c r="H63" s="25">
        <f>H61-H62</f>
        <v/>
      </c>
      <c r="I63" s="25">
        <f>I61-I62</f>
        <v/>
      </c>
      <c r="J63" s="25">
        <f>J61-J62</f>
        <v/>
      </c>
      <c r="K63" s="25">
        <f>K61-K62</f>
        <v/>
      </c>
      <c r="L63" s="25">
        <f>L61-L62</f>
        <v/>
      </c>
      <c r="M63" s="25">
        <f>M61-M62</f>
        <v/>
      </c>
      <c r="N63" s="25">
        <f>N61-N62</f>
        <v/>
      </c>
      <c r="O63" s="25">
        <f>O61-O62</f>
        <v/>
      </c>
      <c r="P63" s="25">
        <f>P61-P62</f>
        <v/>
      </c>
      <c r="Q63" s="25">
        <f>Q61-Q62</f>
        <v/>
      </c>
      <c r="R63" s="25">
        <f>R61-R62</f>
        <v/>
      </c>
      <c r="S63" s="25">
        <f>S61-S62</f>
        <v/>
      </c>
      <c r="T63" s="25">
        <f>T61-T62</f>
        <v/>
      </c>
      <c r="U63" s="25">
        <f>U61-U62</f>
        <v/>
      </c>
      <c r="V63" s="25">
        <f>V61-V62</f>
        <v/>
      </c>
    </row>
    <row r="64">
      <c r="A64" s="8" t="inlineStr">
        <is>
          <t>JV Resecuritization Waterfall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</row>
    <row r="65">
      <c r="A65" s="10" t="inlineStr">
        <is>
          <t>JV Pool for Resecuritization</t>
        </is>
      </c>
      <c r="B65" s="18" t="inlineStr">
        <is>
          <t>$</t>
        </is>
      </c>
      <c r="C65" s="24">
        <f>C32*C8*C27</f>
        <v/>
      </c>
      <c r="D65" s="24">
        <f>D32*D8*D27</f>
        <v/>
      </c>
      <c r="E65" s="24">
        <f>E32*E8*E27</f>
        <v/>
      </c>
      <c r="F65" s="24">
        <f>F32*F8*F27</f>
        <v/>
      </c>
      <c r="G65" s="24">
        <f>G32*G8*G27</f>
        <v/>
      </c>
      <c r="H65" s="24">
        <f>H32*H8*H27</f>
        <v/>
      </c>
      <c r="I65" s="24">
        <f>I32*I8*I27</f>
        <v/>
      </c>
      <c r="J65" s="24">
        <f>J32*J8*J27</f>
        <v/>
      </c>
      <c r="K65" s="24">
        <f>K32*K8*K27</f>
        <v/>
      </c>
      <c r="L65" s="24">
        <f>L32*L8*L27</f>
        <v/>
      </c>
      <c r="M65" s="24">
        <f>M32*M8*M27</f>
        <v/>
      </c>
      <c r="N65" s="24">
        <f>N32*N8*N27</f>
        <v/>
      </c>
      <c r="O65" s="24">
        <f>O32*O8*O27</f>
        <v/>
      </c>
      <c r="P65" s="24">
        <f>P32*P8*P27</f>
        <v/>
      </c>
      <c r="Q65" s="24">
        <f>Q32*Q8*Q27</f>
        <v/>
      </c>
      <c r="R65" s="24">
        <f>R32*R8*R27</f>
        <v/>
      </c>
      <c r="S65" s="24">
        <f>S32*S8*S27</f>
        <v/>
      </c>
      <c r="T65" s="24">
        <f>T32*T8*T27</f>
        <v/>
      </c>
      <c r="U65" s="24">
        <f>U32*U8*U27</f>
        <v/>
      </c>
      <c r="V65" s="24">
        <f>V32*V8*V27</f>
        <v/>
      </c>
    </row>
    <row r="66">
      <c r="A66" s="26" t="inlineStr">
        <is>
          <t>Senior Tranche (Proceeds)</t>
        </is>
      </c>
      <c r="B66" s="20" t="n"/>
      <c r="C66" s="24">
        <f>C65*C28</f>
        <v/>
      </c>
      <c r="D66" s="24">
        <f>D65*D28</f>
        <v/>
      </c>
      <c r="E66" s="24">
        <f>E65*E28</f>
        <v/>
      </c>
      <c r="F66" s="24">
        <f>F65*F28</f>
        <v/>
      </c>
      <c r="G66" s="24">
        <f>G65*G28</f>
        <v/>
      </c>
      <c r="H66" s="24">
        <f>H65*H28</f>
        <v/>
      </c>
      <c r="I66" s="24">
        <f>I65*I28</f>
        <v/>
      </c>
      <c r="J66" s="24">
        <f>J65*J28</f>
        <v/>
      </c>
      <c r="K66" s="24">
        <f>K65*K28</f>
        <v/>
      </c>
      <c r="L66" s="24">
        <f>L65*L28</f>
        <v/>
      </c>
      <c r="M66" s="24">
        <f>M65*M28</f>
        <v/>
      </c>
      <c r="N66" s="24">
        <f>N65*N28</f>
        <v/>
      </c>
      <c r="O66" s="24">
        <f>O65*O28</f>
        <v/>
      </c>
      <c r="P66" s="24">
        <f>P65*P28</f>
        <v/>
      </c>
      <c r="Q66" s="24">
        <f>Q65*Q28</f>
        <v/>
      </c>
      <c r="R66" s="24">
        <f>R65*R28</f>
        <v/>
      </c>
      <c r="S66" s="24">
        <f>S65*S28</f>
        <v/>
      </c>
      <c r="T66" s="24">
        <f>T65*T28</f>
        <v/>
      </c>
      <c r="U66" s="24">
        <f>U65*U28</f>
        <v/>
      </c>
      <c r="V66" s="24">
        <f>V65*V28</f>
        <v/>
      </c>
    </row>
    <row r="67">
      <c r="A67" s="26" t="inlineStr">
        <is>
          <t>Subordinate / Retained Tranche</t>
        </is>
      </c>
      <c r="B67" s="20" t="n"/>
      <c r="C67" s="24">
        <f>C65-C66</f>
        <v/>
      </c>
      <c r="D67" s="24">
        <f>D65-D66</f>
        <v/>
      </c>
      <c r="E67" s="24">
        <f>E65-E66</f>
        <v/>
      </c>
      <c r="F67" s="24">
        <f>F65-F66</f>
        <v/>
      </c>
      <c r="G67" s="24">
        <f>G65-G66</f>
        <v/>
      </c>
      <c r="H67" s="24">
        <f>H65-H66</f>
        <v/>
      </c>
      <c r="I67" s="24">
        <f>I65-I66</f>
        <v/>
      </c>
      <c r="J67" s="24">
        <f>J65-J66</f>
        <v/>
      </c>
      <c r="K67" s="24">
        <f>K65-K66</f>
        <v/>
      </c>
      <c r="L67" s="24">
        <f>L65-L66</f>
        <v/>
      </c>
      <c r="M67" s="24">
        <f>M65-M66</f>
        <v/>
      </c>
      <c r="N67" s="24">
        <f>N65-N66</f>
        <v/>
      </c>
      <c r="O67" s="24">
        <f>O65-O66</f>
        <v/>
      </c>
      <c r="P67" s="24">
        <f>P65-P66</f>
        <v/>
      </c>
      <c r="Q67" s="24">
        <f>Q65-Q66</f>
        <v/>
      </c>
      <c r="R67" s="24">
        <f>R65-R66</f>
        <v/>
      </c>
      <c r="S67" s="24">
        <f>S65-S66</f>
        <v/>
      </c>
      <c r="T67" s="24">
        <f>T65-T66</f>
        <v/>
      </c>
      <c r="U67" s="24">
        <f>U65-U66</f>
        <v/>
      </c>
      <c r="V67" s="24">
        <f>V65-V66</f>
        <v/>
      </c>
    </row>
    <row r="68">
      <c r="A68" s="26" t="inlineStr">
        <is>
          <t>Gross Pool Income</t>
        </is>
      </c>
      <c r="B68" s="20" t="n"/>
      <c r="C68" s="24">
        <f>C65*C15</f>
        <v/>
      </c>
      <c r="D68" s="24">
        <f>D65*D15</f>
        <v/>
      </c>
      <c r="E68" s="24">
        <f>E65*E15</f>
        <v/>
      </c>
      <c r="F68" s="24">
        <f>F65*F15</f>
        <v/>
      </c>
      <c r="G68" s="24">
        <f>G65*G15</f>
        <v/>
      </c>
      <c r="H68" s="24">
        <f>H65*H15</f>
        <v/>
      </c>
      <c r="I68" s="24">
        <f>I65*I15</f>
        <v/>
      </c>
      <c r="J68" s="24">
        <f>J65*J15</f>
        <v/>
      </c>
      <c r="K68" s="24">
        <f>K65*K15</f>
        <v/>
      </c>
      <c r="L68" s="24">
        <f>L65*L15</f>
        <v/>
      </c>
      <c r="M68" s="24">
        <f>M65*M15</f>
        <v/>
      </c>
      <c r="N68" s="24">
        <f>N65*N15</f>
        <v/>
      </c>
      <c r="O68" s="24">
        <f>O65*O15</f>
        <v/>
      </c>
      <c r="P68" s="24">
        <f>P65*P15</f>
        <v/>
      </c>
      <c r="Q68" s="24">
        <f>Q65*Q15</f>
        <v/>
      </c>
      <c r="R68" s="24">
        <f>R65*R15</f>
        <v/>
      </c>
      <c r="S68" s="24">
        <f>S65*S15</f>
        <v/>
      </c>
      <c r="T68" s="24">
        <f>T65*T15</f>
        <v/>
      </c>
      <c r="U68" s="24">
        <f>U65*U15</f>
        <v/>
      </c>
      <c r="V68" s="24">
        <f>V65*V15</f>
        <v/>
      </c>
    </row>
    <row r="69">
      <c r="A69" s="26" t="inlineStr">
        <is>
          <t>Senior Tranche Cost</t>
        </is>
      </c>
      <c r="B69" s="20" t="n"/>
      <c r="C69" s="24">
        <f>C66*'Market Rates'!C14</f>
        <v/>
      </c>
      <c r="D69" s="24">
        <f>D66*'Market Rates'!D14</f>
        <v/>
      </c>
      <c r="E69" s="24">
        <f>E66*'Market Rates'!E14</f>
        <v/>
      </c>
      <c r="F69" s="24">
        <f>F66*'Market Rates'!F14</f>
        <v/>
      </c>
      <c r="G69" s="24">
        <f>G66*'Market Rates'!G14</f>
        <v/>
      </c>
      <c r="H69" s="24">
        <f>H66*'Market Rates'!H14</f>
        <v/>
      </c>
      <c r="I69" s="24">
        <f>I66*'Market Rates'!I14</f>
        <v/>
      </c>
      <c r="J69" s="24">
        <f>J66*'Market Rates'!J14</f>
        <v/>
      </c>
      <c r="K69" s="24">
        <f>K66*'Market Rates'!K14</f>
        <v/>
      </c>
      <c r="L69" s="24">
        <f>L66*'Market Rates'!L14</f>
        <v/>
      </c>
      <c r="M69" s="24">
        <f>M66*'Market Rates'!M14</f>
        <v/>
      </c>
      <c r="N69" s="24">
        <f>N66*'Market Rates'!N14</f>
        <v/>
      </c>
      <c r="O69" s="24">
        <f>O66*'Market Rates'!O14</f>
        <v/>
      </c>
      <c r="P69" s="24">
        <f>P66*'Market Rates'!P14</f>
        <v/>
      </c>
      <c r="Q69" s="24">
        <f>Q66*'Market Rates'!Q14</f>
        <v/>
      </c>
      <c r="R69" s="24">
        <f>R66*'Market Rates'!R14</f>
        <v/>
      </c>
      <c r="S69" s="24">
        <f>S66*'Market Rates'!S14</f>
        <v/>
      </c>
      <c r="T69" s="24">
        <f>T66*'Market Rates'!T14</f>
        <v/>
      </c>
      <c r="U69" s="24">
        <f>U66*'Market Rates'!U14</f>
        <v/>
      </c>
      <c r="V69" s="24">
        <f>V66*'Market Rates'!V14</f>
        <v/>
      </c>
    </row>
    <row r="70">
      <c r="A70" s="26" t="inlineStr">
        <is>
          <t>Excess Spread</t>
        </is>
      </c>
      <c r="B70" s="20" t="n"/>
      <c r="C70" s="24">
        <f>C68-C69</f>
        <v/>
      </c>
      <c r="D70" s="24">
        <f>D68-D69</f>
        <v/>
      </c>
      <c r="E70" s="24">
        <f>E68-E69</f>
        <v/>
      </c>
      <c r="F70" s="24">
        <f>F68-F69</f>
        <v/>
      </c>
      <c r="G70" s="24">
        <f>G68-G69</f>
        <v/>
      </c>
      <c r="H70" s="24">
        <f>H68-H69</f>
        <v/>
      </c>
      <c r="I70" s="24">
        <f>I68-I69</f>
        <v/>
      </c>
      <c r="J70" s="24">
        <f>J68-J69</f>
        <v/>
      </c>
      <c r="K70" s="24">
        <f>K68-K69</f>
        <v/>
      </c>
      <c r="L70" s="24">
        <f>L68-L69</f>
        <v/>
      </c>
      <c r="M70" s="24">
        <f>M68-M69</f>
        <v/>
      </c>
      <c r="N70" s="24">
        <f>N68-N69</f>
        <v/>
      </c>
      <c r="O70" s="24">
        <f>O68-O69</f>
        <v/>
      </c>
      <c r="P70" s="24">
        <f>P68-P69</f>
        <v/>
      </c>
      <c r="Q70" s="24">
        <f>Q68-Q69</f>
        <v/>
      </c>
      <c r="R70" s="24">
        <f>R68-R69</f>
        <v/>
      </c>
      <c r="S70" s="24">
        <f>S68-S69</f>
        <v/>
      </c>
      <c r="T70" s="24">
        <f>T68-T69</f>
        <v/>
      </c>
      <c r="U70" s="24">
        <f>U68-U69</f>
        <v/>
      </c>
      <c r="V70" s="24">
        <f>V68-V69</f>
        <v/>
      </c>
    </row>
    <row r="71">
      <c r="A71" s="26" t="inlineStr">
        <is>
          <t>Issuance Cost</t>
        </is>
      </c>
      <c r="B71" s="20" t="n"/>
      <c r="C71" s="24">
        <f>C65*C29/10000</f>
        <v/>
      </c>
      <c r="D71" s="24">
        <f>D65*D29/10000</f>
        <v/>
      </c>
      <c r="E71" s="24">
        <f>E65*E29/10000</f>
        <v/>
      </c>
      <c r="F71" s="24">
        <f>F65*F29/10000</f>
        <v/>
      </c>
      <c r="G71" s="24">
        <f>G65*G29/10000</f>
        <v/>
      </c>
      <c r="H71" s="24">
        <f>H65*H29/10000</f>
        <v/>
      </c>
      <c r="I71" s="24">
        <f>I65*I29/10000</f>
        <v/>
      </c>
      <c r="J71" s="24">
        <f>J65*J29/10000</f>
        <v/>
      </c>
      <c r="K71" s="24">
        <f>K65*K29/10000</f>
        <v/>
      </c>
      <c r="L71" s="24">
        <f>L65*L29/10000</f>
        <v/>
      </c>
      <c r="M71" s="24">
        <f>M65*M29/10000</f>
        <v/>
      </c>
      <c r="N71" s="24">
        <f>N65*N29/10000</f>
        <v/>
      </c>
      <c r="O71" s="24">
        <f>O65*O29/10000</f>
        <v/>
      </c>
      <c r="P71" s="24">
        <f>P65*P29/10000</f>
        <v/>
      </c>
      <c r="Q71" s="24">
        <f>Q65*Q29/10000</f>
        <v/>
      </c>
      <c r="R71" s="24">
        <f>R65*R29/10000</f>
        <v/>
      </c>
      <c r="S71" s="24">
        <f>S65*S29/10000</f>
        <v/>
      </c>
      <c r="T71" s="24">
        <f>T65*T29/10000</f>
        <v/>
      </c>
      <c r="U71" s="24">
        <f>U65*U29/10000</f>
        <v/>
      </c>
      <c r="V71" s="24">
        <f>V65*V29/10000</f>
        <v/>
      </c>
    </row>
    <row r="72">
      <c r="A72" s="21" t="inlineStr">
        <is>
          <t>Net JV Resecuritization Income</t>
        </is>
      </c>
      <c r="B72" s="20" t="n"/>
      <c r="C72" s="25">
        <f>C70-C71</f>
        <v/>
      </c>
      <c r="D72" s="25">
        <f>D70-D71</f>
        <v/>
      </c>
      <c r="E72" s="25">
        <f>E70-E71</f>
        <v/>
      </c>
      <c r="F72" s="25">
        <f>F70-F71</f>
        <v/>
      </c>
      <c r="G72" s="25">
        <f>G70-G71</f>
        <v/>
      </c>
      <c r="H72" s="25">
        <f>H70-H71</f>
        <v/>
      </c>
      <c r="I72" s="25">
        <f>I70-I71</f>
        <v/>
      </c>
      <c r="J72" s="25">
        <f>J70-J71</f>
        <v/>
      </c>
      <c r="K72" s="25">
        <f>K70-K71</f>
        <v/>
      </c>
      <c r="L72" s="25">
        <f>L70-L71</f>
        <v/>
      </c>
      <c r="M72" s="25">
        <f>M70-M71</f>
        <v/>
      </c>
      <c r="N72" s="25">
        <f>N70-N71</f>
        <v/>
      </c>
      <c r="O72" s="25">
        <f>O70-O71</f>
        <v/>
      </c>
      <c r="P72" s="25">
        <f>P70-P71</f>
        <v/>
      </c>
      <c r="Q72" s="25">
        <f>Q70-Q71</f>
        <v/>
      </c>
      <c r="R72" s="25">
        <f>R70-R71</f>
        <v/>
      </c>
      <c r="S72" s="25">
        <f>S70-S71</f>
        <v/>
      </c>
      <c r="T72" s="25">
        <f>T70-T71</f>
        <v/>
      </c>
      <c r="U72" s="25">
        <f>U70-U71</f>
        <v/>
      </c>
      <c r="V72" s="25">
        <f>V70-V71</f>
        <v/>
      </c>
    </row>
    <row r="73">
      <c r="A73" s="21" t="inlineStr">
        <is>
          <t>Total Net Securitization Income</t>
        </is>
      </c>
      <c r="B73" s="20" t="n"/>
      <c r="C73" s="25">
        <f>C63+C72</f>
        <v/>
      </c>
      <c r="D73" s="25">
        <f>D63+D72</f>
        <v/>
      </c>
      <c r="E73" s="25">
        <f>E63+E72</f>
        <v/>
      </c>
      <c r="F73" s="25">
        <f>F63+F72</f>
        <v/>
      </c>
      <c r="G73" s="25">
        <f>G63+G72</f>
        <v/>
      </c>
      <c r="H73" s="25">
        <f>H63+H72</f>
        <v/>
      </c>
      <c r="I73" s="25">
        <f>I63+I72</f>
        <v/>
      </c>
      <c r="J73" s="25">
        <f>J63+J72</f>
        <v/>
      </c>
      <c r="K73" s="25">
        <f>K63+K72</f>
        <v/>
      </c>
      <c r="L73" s="25">
        <f>L63+L72</f>
        <v/>
      </c>
      <c r="M73" s="25">
        <f>M63+M72</f>
        <v/>
      </c>
      <c r="N73" s="25">
        <f>N63+N72</f>
        <v/>
      </c>
      <c r="O73" s="25">
        <f>O63+O72</f>
        <v/>
      </c>
      <c r="P73" s="25">
        <f>P63+P72</f>
        <v/>
      </c>
      <c r="Q73" s="25">
        <f>Q63+Q72</f>
        <v/>
      </c>
      <c r="R73" s="25">
        <f>R63+R72</f>
        <v/>
      </c>
      <c r="S73" s="25">
        <f>S63+S72</f>
        <v/>
      </c>
      <c r="T73" s="25">
        <f>T63+T72</f>
        <v/>
      </c>
      <c r="U73" s="25">
        <f>U63+U72</f>
        <v/>
      </c>
      <c r="V73" s="25">
        <f>V63+V72</f>
        <v/>
      </c>
    </row>
    <row r="75">
      <c r="A75" s="27" t="inlineStr">
        <is>
          <t>TOTAL GROSS INCOME</t>
        </is>
      </c>
      <c r="B75" s="28" t="n"/>
      <c r="C75" s="29">
        <f>C41+C52+C73</f>
        <v/>
      </c>
      <c r="D75" s="29">
        <f>D41+D52+D73</f>
        <v/>
      </c>
      <c r="E75" s="29">
        <f>E41+E52+E73</f>
        <v/>
      </c>
      <c r="F75" s="29">
        <f>F41+F52+F73</f>
        <v/>
      </c>
      <c r="G75" s="29">
        <f>G41+G52+G73</f>
        <v/>
      </c>
      <c r="H75" s="29">
        <f>H41+H52+H73</f>
        <v/>
      </c>
      <c r="I75" s="29">
        <f>I41+I52+I73</f>
        <v/>
      </c>
      <c r="J75" s="29">
        <f>J41+J52+J73</f>
        <v/>
      </c>
      <c r="K75" s="29">
        <f>K41+K52+K73</f>
        <v/>
      </c>
      <c r="L75" s="29">
        <f>L41+L52+L73</f>
        <v/>
      </c>
      <c r="M75" s="29">
        <f>M41+M52+M73</f>
        <v/>
      </c>
      <c r="N75" s="29">
        <f>N41+N52+N73</f>
        <v/>
      </c>
      <c r="O75" s="29">
        <f>O41+O52+O73</f>
        <v/>
      </c>
      <c r="P75" s="29">
        <f>P41+P52+P73</f>
        <v/>
      </c>
      <c r="Q75" s="29">
        <f>Q41+Q52+Q73</f>
        <v/>
      </c>
      <c r="R75" s="29">
        <f>R41+R52+R73</f>
        <v/>
      </c>
      <c r="S75" s="29">
        <f>S41+S52+S73</f>
        <v/>
      </c>
      <c r="T75" s="29">
        <f>T41+T52+T73</f>
        <v/>
      </c>
      <c r="U75" s="29">
        <f>U41+U52+U73</f>
        <v/>
      </c>
      <c r="V75" s="29">
        <f>V41+V52+V73</f>
        <v/>
      </c>
    </row>
    <row r="77">
      <c r="A77" s="3" t="inlineStr">
        <is>
          <t>FEES &amp; EXPENSES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>
      <c r="A78" s="10" t="inlineStr">
        <is>
          <t>Management Fee</t>
        </is>
      </c>
      <c r="B78" s="20" t="n"/>
      <c r="C78" s="24">
        <f>C32*Summary!$C$6/10000</f>
        <v/>
      </c>
      <c r="D78" s="24">
        <f>D32*Summary!$C$6/10000</f>
        <v/>
      </c>
      <c r="E78" s="24">
        <f>E32*Summary!$C$6/10000</f>
        <v/>
      </c>
      <c r="F78" s="24">
        <f>F32*Summary!$C$6/10000</f>
        <v/>
      </c>
      <c r="G78" s="24">
        <f>G32*Summary!$C$6/10000</f>
        <v/>
      </c>
      <c r="H78" s="24">
        <f>H32*Summary!$C$6/10000</f>
        <v/>
      </c>
      <c r="I78" s="24">
        <f>I32*Summary!$C$6/10000</f>
        <v/>
      </c>
      <c r="J78" s="24">
        <f>J32*Summary!$C$6/10000</f>
        <v/>
      </c>
      <c r="K78" s="24">
        <f>K32*Summary!$C$6/10000</f>
        <v/>
      </c>
      <c r="L78" s="24">
        <f>L32*Summary!$C$6/10000</f>
        <v/>
      </c>
      <c r="M78" s="24">
        <f>M32*Summary!$C$6/10000</f>
        <v/>
      </c>
      <c r="N78" s="24">
        <f>N32*Summary!$C$6/10000</f>
        <v/>
      </c>
      <c r="O78" s="24">
        <f>O32*Summary!$C$6/10000</f>
        <v/>
      </c>
      <c r="P78" s="24">
        <f>P32*Summary!$C$6/10000</f>
        <v/>
      </c>
      <c r="Q78" s="24">
        <f>Q32*Summary!$C$6/10000</f>
        <v/>
      </c>
      <c r="R78" s="24">
        <f>R32*Summary!$C$6/10000</f>
        <v/>
      </c>
      <c r="S78" s="24">
        <f>S32*Summary!$C$6/10000</f>
        <v/>
      </c>
      <c r="T78" s="24">
        <f>T32*Summary!$C$6/10000</f>
        <v/>
      </c>
      <c r="U78" s="24">
        <f>U32*Summary!$C$6/10000</f>
        <v/>
      </c>
      <c r="V78" s="24">
        <f>V32*Summary!$C$6/10000</f>
        <v/>
      </c>
    </row>
    <row r="79">
      <c r="A79" s="10" t="inlineStr">
        <is>
          <t>Return Above Hurdle</t>
        </is>
      </c>
      <c r="B79" s="20" t="n"/>
      <c r="C79" s="24">
        <f>MAX(0,C75-C32*Summary!$C$8/10000)</f>
        <v/>
      </c>
      <c r="D79" s="24">
        <f>MAX(0,D75-D32*Summary!$C$8/10000)</f>
        <v/>
      </c>
      <c r="E79" s="24">
        <f>MAX(0,E75-E32*Summary!$C$8/10000)</f>
        <v/>
      </c>
      <c r="F79" s="24">
        <f>MAX(0,F75-F32*Summary!$C$8/10000)</f>
        <v/>
      </c>
      <c r="G79" s="24">
        <f>MAX(0,G75-G32*Summary!$C$8/10000)</f>
        <v/>
      </c>
      <c r="H79" s="24">
        <f>MAX(0,H75-H32*Summary!$C$8/10000)</f>
        <v/>
      </c>
      <c r="I79" s="24">
        <f>MAX(0,I75-I32*Summary!$C$8/10000)</f>
        <v/>
      </c>
      <c r="J79" s="24">
        <f>MAX(0,J75-J32*Summary!$C$8/10000)</f>
        <v/>
      </c>
      <c r="K79" s="24">
        <f>MAX(0,K75-K32*Summary!$C$8/10000)</f>
        <v/>
      </c>
      <c r="L79" s="24">
        <f>MAX(0,L75-L32*Summary!$C$8/10000)</f>
        <v/>
      </c>
      <c r="M79" s="24">
        <f>MAX(0,M75-M32*Summary!$C$8/10000)</f>
        <v/>
      </c>
      <c r="N79" s="24">
        <f>MAX(0,N75-N32*Summary!$C$8/10000)</f>
        <v/>
      </c>
      <c r="O79" s="24">
        <f>MAX(0,O75-O32*Summary!$C$8/10000)</f>
        <v/>
      </c>
      <c r="P79" s="24">
        <f>MAX(0,P75-P32*Summary!$C$8/10000)</f>
        <v/>
      </c>
      <c r="Q79" s="24">
        <f>MAX(0,Q75-Q32*Summary!$C$8/10000)</f>
        <v/>
      </c>
      <c r="R79" s="24">
        <f>MAX(0,R75-R32*Summary!$C$8/10000)</f>
        <v/>
      </c>
      <c r="S79" s="24">
        <f>MAX(0,S75-S32*Summary!$C$8/10000)</f>
        <v/>
      </c>
      <c r="T79" s="24">
        <f>MAX(0,T75-T32*Summary!$C$8/10000)</f>
        <v/>
      </c>
      <c r="U79" s="24">
        <f>MAX(0,U75-U32*Summary!$C$8/10000)</f>
        <v/>
      </c>
      <c r="V79" s="24">
        <f>MAX(0,V75-V32*Summary!$C$8/10000)</f>
        <v/>
      </c>
    </row>
    <row r="80">
      <c r="A80" s="10" t="inlineStr">
        <is>
          <t>Performance Fee</t>
        </is>
      </c>
      <c r="B80" s="20" t="n"/>
      <c r="C80" s="24">
        <f>C79*Summary!$C$7/10000</f>
        <v/>
      </c>
      <c r="D80" s="24">
        <f>D79*Summary!$C$7/10000</f>
        <v/>
      </c>
      <c r="E80" s="24">
        <f>E79*Summary!$C$7/10000</f>
        <v/>
      </c>
      <c r="F80" s="24">
        <f>F79*Summary!$C$7/10000</f>
        <v/>
      </c>
      <c r="G80" s="24">
        <f>G79*Summary!$C$7/10000</f>
        <v/>
      </c>
      <c r="H80" s="24">
        <f>H79*Summary!$C$7/10000</f>
        <v/>
      </c>
      <c r="I80" s="24">
        <f>I79*Summary!$C$7/10000</f>
        <v/>
      </c>
      <c r="J80" s="24">
        <f>J79*Summary!$C$7/10000</f>
        <v/>
      </c>
      <c r="K80" s="24">
        <f>K79*Summary!$C$7/10000</f>
        <v/>
      </c>
      <c r="L80" s="24">
        <f>L79*Summary!$C$7/10000</f>
        <v/>
      </c>
      <c r="M80" s="24">
        <f>M79*Summary!$C$7/10000</f>
        <v/>
      </c>
      <c r="N80" s="24">
        <f>N79*Summary!$C$7/10000</f>
        <v/>
      </c>
      <c r="O80" s="24">
        <f>O79*Summary!$C$7/10000</f>
        <v/>
      </c>
      <c r="P80" s="24">
        <f>P79*Summary!$C$7/10000</f>
        <v/>
      </c>
      <c r="Q80" s="24">
        <f>Q79*Summary!$C$7/10000</f>
        <v/>
      </c>
      <c r="R80" s="24">
        <f>R79*Summary!$C$7/10000</f>
        <v/>
      </c>
      <c r="S80" s="24">
        <f>S79*Summary!$C$7/10000</f>
        <v/>
      </c>
      <c r="T80" s="24">
        <f>T79*Summary!$C$7/10000</f>
        <v/>
      </c>
      <c r="U80" s="24">
        <f>U79*Summary!$C$7/10000</f>
        <v/>
      </c>
      <c r="V80" s="24">
        <f>V79*Summary!$C$7/10000</f>
        <v/>
      </c>
    </row>
    <row r="81">
      <c r="A81" s="10" t="inlineStr">
        <is>
          <t>Other Expenses</t>
        </is>
      </c>
      <c r="B81" s="20" t="n"/>
      <c r="C81" s="24">
        <f>C32*Summary!$C$9/10000</f>
        <v/>
      </c>
      <c r="D81" s="24">
        <f>D32*Summary!$C$9/10000</f>
        <v/>
      </c>
      <c r="E81" s="24">
        <f>E32*Summary!$C$9/10000</f>
        <v/>
      </c>
      <c r="F81" s="24">
        <f>F32*Summary!$C$9/10000</f>
        <v/>
      </c>
      <c r="G81" s="24">
        <f>G32*Summary!$C$9/10000</f>
        <v/>
      </c>
      <c r="H81" s="24">
        <f>H32*Summary!$C$9/10000</f>
        <v/>
      </c>
      <c r="I81" s="24">
        <f>I32*Summary!$C$9/10000</f>
        <v/>
      </c>
      <c r="J81" s="24">
        <f>J32*Summary!$C$9/10000</f>
        <v/>
      </c>
      <c r="K81" s="24">
        <f>K32*Summary!$C$9/10000</f>
        <v/>
      </c>
      <c r="L81" s="24">
        <f>L32*Summary!$C$9/10000</f>
        <v/>
      </c>
      <c r="M81" s="24">
        <f>M32*Summary!$C$9/10000</f>
        <v/>
      </c>
      <c r="N81" s="24">
        <f>N32*Summary!$C$9/10000</f>
        <v/>
      </c>
      <c r="O81" s="24">
        <f>O32*Summary!$C$9/10000</f>
        <v/>
      </c>
      <c r="P81" s="24">
        <f>P32*Summary!$C$9/10000</f>
        <v/>
      </c>
      <c r="Q81" s="24">
        <f>Q32*Summary!$C$9/10000</f>
        <v/>
      </c>
      <c r="R81" s="24">
        <f>R32*Summary!$C$9/10000</f>
        <v/>
      </c>
      <c r="S81" s="24">
        <f>S32*Summary!$C$9/10000</f>
        <v/>
      </c>
      <c r="T81" s="24">
        <f>T32*Summary!$C$9/10000</f>
        <v/>
      </c>
      <c r="U81" s="24">
        <f>U32*Summary!$C$9/10000</f>
        <v/>
      </c>
      <c r="V81" s="24">
        <f>V32*Summary!$C$9/10000</f>
        <v/>
      </c>
    </row>
    <row r="82">
      <c r="A82" s="21" t="inlineStr">
        <is>
          <t>Total Fees &amp; Expenses</t>
        </is>
      </c>
      <c r="B82" s="20" t="n"/>
      <c r="C82" s="25">
        <f>C78+C80+C81</f>
        <v/>
      </c>
      <c r="D82" s="25">
        <f>D78+D80+D81</f>
        <v/>
      </c>
      <c r="E82" s="25">
        <f>E78+E80+E81</f>
        <v/>
      </c>
      <c r="F82" s="25">
        <f>F78+F80+F81</f>
        <v/>
      </c>
      <c r="G82" s="25">
        <f>G78+G80+G81</f>
        <v/>
      </c>
      <c r="H82" s="25">
        <f>H78+H80+H81</f>
        <v/>
      </c>
      <c r="I82" s="25">
        <f>I78+I80+I81</f>
        <v/>
      </c>
      <c r="J82" s="25">
        <f>J78+J80+J81</f>
        <v/>
      </c>
      <c r="K82" s="25">
        <f>K78+K80+K81</f>
        <v/>
      </c>
      <c r="L82" s="25">
        <f>L78+L80+L81</f>
        <v/>
      </c>
      <c r="M82" s="25">
        <f>M78+M80+M81</f>
        <v/>
      </c>
      <c r="N82" s="25">
        <f>N78+N80+N81</f>
        <v/>
      </c>
      <c r="O82" s="25">
        <f>O78+O80+O81</f>
        <v/>
      </c>
      <c r="P82" s="25">
        <f>P78+P80+P81</f>
        <v/>
      </c>
      <c r="Q82" s="25">
        <f>Q78+Q80+Q81</f>
        <v/>
      </c>
      <c r="R82" s="25">
        <f>R78+R80+R81</f>
        <v/>
      </c>
      <c r="S82" s="25">
        <f>S78+S80+S81</f>
        <v/>
      </c>
      <c r="T82" s="25">
        <f>T78+T80+T81</f>
        <v/>
      </c>
      <c r="U82" s="25">
        <f>U78+U80+U81</f>
        <v/>
      </c>
      <c r="V82" s="25">
        <f>V78+V80+V81</f>
        <v/>
      </c>
    </row>
    <row r="84">
      <c r="A84" s="3" t="inlineStr">
        <is>
          <t>RETURNS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>
      <c r="A85" s="30" t="inlineStr">
        <is>
          <t>NET INCOME</t>
        </is>
      </c>
      <c r="B85" s="31" t="n"/>
      <c r="C85" s="32">
        <f>C75-C82</f>
        <v/>
      </c>
      <c r="D85" s="32">
        <f>D75-D82</f>
        <v/>
      </c>
      <c r="E85" s="32">
        <f>E75-E82</f>
        <v/>
      </c>
      <c r="F85" s="32">
        <f>F75-F82</f>
        <v/>
      </c>
      <c r="G85" s="32">
        <f>G75-G82</f>
        <v/>
      </c>
      <c r="H85" s="32">
        <f>H75-H82</f>
        <v/>
      </c>
      <c r="I85" s="32">
        <f>I75-I82</f>
        <v/>
      </c>
      <c r="J85" s="32">
        <f>J75-J82</f>
        <v/>
      </c>
      <c r="K85" s="32">
        <f>K75-K82</f>
        <v/>
      </c>
      <c r="L85" s="32">
        <f>L75-L82</f>
        <v/>
      </c>
      <c r="M85" s="32">
        <f>M75-M82</f>
        <v/>
      </c>
      <c r="N85" s="32">
        <f>N75-N82</f>
        <v/>
      </c>
      <c r="O85" s="32">
        <f>O75-O82</f>
        <v/>
      </c>
      <c r="P85" s="32">
        <f>P75-P82</f>
        <v/>
      </c>
      <c r="Q85" s="32">
        <f>Q75-Q82</f>
        <v/>
      </c>
      <c r="R85" s="32">
        <f>R75-R82</f>
        <v/>
      </c>
      <c r="S85" s="32">
        <f>S75-S82</f>
        <v/>
      </c>
      <c r="T85" s="32">
        <f>T75-T82</f>
        <v/>
      </c>
      <c r="U85" s="32">
        <f>U75-U82</f>
        <v/>
      </c>
      <c r="V85" s="32">
        <f>V75-V82</f>
        <v/>
      </c>
    </row>
    <row r="86">
      <c r="A86" s="30" t="inlineStr">
        <is>
          <t>NET YIELD (Return to LPs)</t>
        </is>
      </c>
      <c r="B86" s="31" t="n"/>
      <c r="C86" s="33">
        <f>IF(C32=0,0,C85/C32)</f>
        <v/>
      </c>
      <c r="D86" s="33">
        <f>IF(D32=0,0,D85/D32)</f>
        <v/>
      </c>
      <c r="E86" s="33">
        <f>IF(E32=0,0,E85/E32)</f>
        <v/>
      </c>
      <c r="F86" s="33">
        <f>IF(F32=0,0,F85/F32)</f>
        <v/>
      </c>
      <c r="G86" s="33">
        <f>IF(G32=0,0,G85/G32)</f>
        <v/>
      </c>
      <c r="H86" s="33">
        <f>IF(H32=0,0,H85/H32)</f>
        <v/>
      </c>
      <c r="I86" s="33">
        <f>IF(I32=0,0,I85/I32)</f>
        <v/>
      </c>
      <c r="J86" s="33">
        <f>IF(J32=0,0,J85/J32)</f>
        <v/>
      </c>
      <c r="K86" s="33">
        <f>IF(K32=0,0,K85/K32)</f>
        <v/>
      </c>
      <c r="L86" s="33">
        <f>IF(L32=0,0,L85/L32)</f>
        <v/>
      </c>
      <c r="M86" s="33">
        <f>IF(M32=0,0,M85/M32)</f>
        <v/>
      </c>
      <c r="N86" s="33">
        <f>IF(N32=0,0,N85/N32)</f>
        <v/>
      </c>
      <c r="O86" s="33">
        <f>IF(O32=0,0,O85/O32)</f>
        <v/>
      </c>
      <c r="P86" s="33">
        <f>IF(P32=0,0,P85/P32)</f>
        <v/>
      </c>
      <c r="Q86" s="33">
        <f>IF(Q32=0,0,Q85/Q32)</f>
        <v/>
      </c>
      <c r="R86" s="33">
        <f>IF(R32=0,0,R85/R32)</f>
        <v/>
      </c>
      <c r="S86" s="33">
        <f>IF(S32=0,0,S85/S32)</f>
        <v/>
      </c>
      <c r="T86" s="33">
        <f>IF(T32=0,0,T85/T32)</f>
        <v/>
      </c>
      <c r="U86" s="33">
        <f>IF(U32=0,0,U85/U32)</f>
        <v/>
      </c>
      <c r="V86" s="33">
        <f>IF(V32=0,0,V85/V32)</f>
        <v/>
      </c>
    </row>
    <row r="87">
      <c r="A87" s="34" t="inlineStr">
        <is>
          <t>ENDING AUM</t>
        </is>
      </c>
      <c r="B87" s="35" t="n"/>
      <c r="C87" s="36">
        <f>C32+C85</f>
        <v/>
      </c>
      <c r="D87" s="36">
        <f>D32+D85</f>
        <v/>
      </c>
      <c r="E87" s="36">
        <f>E32+E85</f>
        <v/>
      </c>
      <c r="F87" s="36">
        <f>F32+F85</f>
        <v/>
      </c>
      <c r="G87" s="36">
        <f>G32+G85</f>
        <v/>
      </c>
      <c r="H87" s="36">
        <f>H32+H85</f>
        <v/>
      </c>
      <c r="I87" s="36">
        <f>I32+I85</f>
        <v/>
      </c>
      <c r="J87" s="36">
        <f>J32+J85</f>
        <v/>
      </c>
      <c r="K87" s="36">
        <f>K32+K85</f>
        <v/>
      </c>
      <c r="L87" s="36">
        <f>L32+L85</f>
        <v/>
      </c>
      <c r="M87" s="36">
        <f>M32+M85</f>
        <v/>
      </c>
      <c r="N87" s="36">
        <f>N32+N85</f>
        <v/>
      </c>
      <c r="O87" s="36">
        <f>O32+O85</f>
        <v/>
      </c>
      <c r="P87" s="36">
        <f>P32+P85</f>
        <v/>
      </c>
      <c r="Q87" s="36">
        <f>Q32+Q85</f>
        <v/>
      </c>
      <c r="R87" s="36">
        <f>R32+R85</f>
        <v/>
      </c>
      <c r="S87" s="36">
        <f>S32+S85</f>
        <v/>
      </c>
      <c r="T87" s="36">
        <f>T32+T85</f>
        <v/>
      </c>
      <c r="U87" s="36">
        <f>U32+U85</f>
        <v/>
      </c>
      <c r="V87" s="36">
        <f>V32+V85</f>
        <v/>
      </c>
    </row>
  </sheetData>
  <mergeCells count="11">
    <mergeCell ref="A54:V54"/>
    <mergeCell ref="A86:B86"/>
    <mergeCell ref="A1:V1"/>
    <mergeCell ref="A84:V84"/>
    <mergeCell ref="A85:B85"/>
    <mergeCell ref="A31:V31"/>
    <mergeCell ref="A75:B75"/>
    <mergeCell ref="A3:V3"/>
    <mergeCell ref="A77:V77"/>
    <mergeCell ref="A43:V43"/>
    <mergeCell ref="A87:B87"/>
  </mergeCells>
  <conditionalFormatting sqref="C11">
    <cfRule type="cellIs" priority="1" operator="notEqual" dxfId="0">
      <formula>1</formula>
    </cfRule>
  </conditionalFormatting>
  <conditionalFormatting sqref="D11">
    <cfRule type="cellIs" priority="2" operator="notEqual" dxfId="0">
      <formula>1</formula>
    </cfRule>
  </conditionalFormatting>
  <conditionalFormatting sqref="E11">
    <cfRule type="cellIs" priority="3" operator="notEqual" dxfId="0">
      <formula>1</formula>
    </cfRule>
  </conditionalFormatting>
  <conditionalFormatting sqref="F11">
    <cfRule type="cellIs" priority="4" operator="notEqual" dxfId="0">
      <formula>1</formula>
    </cfRule>
  </conditionalFormatting>
  <conditionalFormatting sqref="G11">
    <cfRule type="cellIs" priority="5" operator="notEqual" dxfId="0">
      <formula>1</formula>
    </cfRule>
  </conditionalFormatting>
  <conditionalFormatting sqref="H11">
    <cfRule type="cellIs" priority="6" operator="notEqual" dxfId="0">
      <formula>1</formula>
    </cfRule>
  </conditionalFormatting>
  <conditionalFormatting sqref="I11">
    <cfRule type="cellIs" priority="7" operator="notEqual" dxfId="0">
      <formula>1</formula>
    </cfRule>
  </conditionalFormatting>
  <conditionalFormatting sqref="J11">
    <cfRule type="cellIs" priority="8" operator="notEqual" dxfId="0">
      <formula>1</formula>
    </cfRule>
  </conditionalFormatting>
  <conditionalFormatting sqref="K11">
    <cfRule type="cellIs" priority="9" operator="notEqual" dxfId="0">
      <formula>1</formula>
    </cfRule>
  </conditionalFormatting>
  <conditionalFormatting sqref="L11">
    <cfRule type="cellIs" priority="10" operator="notEqual" dxfId="0">
      <formula>1</formula>
    </cfRule>
  </conditionalFormatting>
  <conditionalFormatting sqref="M11">
    <cfRule type="cellIs" priority="11" operator="notEqual" dxfId="0">
      <formula>1</formula>
    </cfRule>
  </conditionalFormatting>
  <conditionalFormatting sqref="N11">
    <cfRule type="cellIs" priority="12" operator="notEqual" dxfId="0">
      <formula>1</formula>
    </cfRule>
  </conditionalFormatting>
  <conditionalFormatting sqref="O11">
    <cfRule type="cellIs" priority="13" operator="notEqual" dxfId="0">
      <formula>1</formula>
    </cfRule>
  </conditionalFormatting>
  <conditionalFormatting sqref="P11">
    <cfRule type="cellIs" priority="14" operator="notEqual" dxfId="0">
      <formula>1</formula>
    </cfRule>
  </conditionalFormatting>
  <conditionalFormatting sqref="Q11">
    <cfRule type="cellIs" priority="15" operator="notEqual" dxfId="0">
      <formula>1</formula>
    </cfRule>
  </conditionalFormatting>
  <conditionalFormatting sqref="R11">
    <cfRule type="cellIs" priority="16" operator="notEqual" dxfId="0">
      <formula>1</formula>
    </cfRule>
  </conditionalFormatting>
  <conditionalFormatting sqref="S11">
    <cfRule type="cellIs" priority="17" operator="notEqual" dxfId="0">
      <formula>1</formula>
    </cfRule>
  </conditionalFormatting>
  <conditionalFormatting sqref="T11">
    <cfRule type="cellIs" priority="18" operator="notEqual" dxfId="0">
      <formula>1</formula>
    </cfRule>
  </conditionalFormatting>
  <conditionalFormatting sqref="U11">
    <cfRule type="cellIs" priority="19" operator="notEqual" dxfId="0">
      <formula>1</formula>
    </cfRule>
  </conditionalFormatting>
  <conditionalFormatting sqref="V11">
    <cfRule type="cellIs" priority="20" operator="notEqual" dxfId="0">
      <formula>1</formula>
    </cfRule>
  </conditionalFormatting>
  <conditionalFormatting sqref="C20">
    <cfRule type="cellIs" priority="21" operator="greaterThan" dxfId="0">
      <formula>1-C24</formula>
    </cfRule>
  </conditionalFormatting>
  <conditionalFormatting sqref="C24">
    <cfRule type="cellIs" priority="22" operator="greaterThan" dxfId="0">
      <formula>1-C20</formula>
    </cfRule>
  </conditionalFormatting>
  <conditionalFormatting sqref="D20">
    <cfRule type="cellIs" priority="23" operator="greaterThan" dxfId="0">
      <formula>1-D24</formula>
    </cfRule>
  </conditionalFormatting>
  <conditionalFormatting sqref="D24">
    <cfRule type="cellIs" priority="24" operator="greaterThan" dxfId="0">
      <formula>1-D20</formula>
    </cfRule>
  </conditionalFormatting>
  <conditionalFormatting sqref="E20">
    <cfRule type="cellIs" priority="25" operator="greaterThan" dxfId="0">
      <formula>1-E24</formula>
    </cfRule>
  </conditionalFormatting>
  <conditionalFormatting sqref="E24">
    <cfRule type="cellIs" priority="26" operator="greaterThan" dxfId="0">
      <formula>1-E20</formula>
    </cfRule>
  </conditionalFormatting>
  <conditionalFormatting sqref="F20">
    <cfRule type="cellIs" priority="27" operator="greaterThan" dxfId="0">
      <formula>1-F24</formula>
    </cfRule>
  </conditionalFormatting>
  <conditionalFormatting sqref="F24">
    <cfRule type="cellIs" priority="28" operator="greaterThan" dxfId="0">
      <formula>1-F20</formula>
    </cfRule>
  </conditionalFormatting>
  <conditionalFormatting sqref="G20">
    <cfRule type="cellIs" priority="29" operator="greaterThan" dxfId="0">
      <formula>1-G24</formula>
    </cfRule>
  </conditionalFormatting>
  <conditionalFormatting sqref="G24">
    <cfRule type="cellIs" priority="30" operator="greaterThan" dxfId="0">
      <formula>1-G20</formula>
    </cfRule>
  </conditionalFormatting>
  <conditionalFormatting sqref="H20">
    <cfRule type="cellIs" priority="31" operator="greaterThan" dxfId="0">
      <formula>1-H24</formula>
    </cfRule>
  </conditionalFormatting>
  <conditionalFormatting sqref="H24">
    <cfRule type="cellIs" priority="32" operator="greaterThan" dxfId="0">
      <formula>1-H20</formula>
    </cfRule>
  </conditionalFormatting>
  <conditionalFormatting sqref="I20">
    <cfRule type="cellIs" priority="33" operator="greaterThan" dxfId="0">
      <formula>1-I24</formula>
    </cfRule>
  </conditionalFormatting>
  <conditionalFormatting sqref="I24">
    <cfRule type="cellIs" priority="34" operator="greaterThan" dxfId="0">
      <formula>1-I20</formula>
    </cfRule>
  </conditionalFormatting>
  <conditionalFormatting sqref="J20">
    <cfRule type="cellIs" priority="35" operator="greaterThan" dxfId="0">
      <formula>1-J24</formula>
    </cfRule>
  </conditionalFormatting>
  <conditionalFormatting sqref="J24">
    <cfRule type="cellIs" priority="36" operator="greaterThan" dxfId="0">
      <formula>1-J20</formula>
    </cfRule>
  </conditionalFormatting>
  <conditionalFormatting sqref="K20">
    <cfRule type="cellIs" priority="37" operator="greaterThan" dxfId="0">
      <formula>1-K24</formula>
    </cfRule>
  </conditionalFormatting>
  <conditionalFormatting sqref="K24">
    <cfRule type="cellIs" priority="38" operator="greaterThan" dxfId="0">
      <formula>1-K20</formula>
    </cfRule>
  </conditionalFormatting>
  <conditionalFormatting sqref="L20">
    <cfRule type="cellIs" priority="39" operator="greaterThan" dxfId="0">
      <formula>1-L24</formula>
    </cfRule>
  </conditionalFormatting>
  <conditionalFormatting sqref="L24">
    <cfRule type="cellIs" priority="40" operator="greaterThan" dxfId="0">
      <formula>1-L20</formula>
    </cfRule>
  </conditionalFormatting>
  <conditionalFormatting sqref="M20">
    <cfRule type="cellIs" priority="41" operator="greaterThan" dxfId="0">
      <formula>1-M24</formula>
    </cfRule>
  </conditionalFormatting>
  <conditionalFormatting sqref="M24">
    <cfRule type="cellIs" priority="42" operator="greaterThan" dxfId="0">
      <formula>1-M20</formula>
    </cfRule>
  </conditionalFormatting>
  <conditionalFormatting sqref="N20">
    <cfRule type="cellIs" priority="43" operator="greaterThan" dxfId="0">
      <formula>1-N24</formula>
    </cfRule>
  </conditionalFormatting>
  <conditionalFormatting sqref="N24">
    <cfRule type="cellIs" priority="44" operator="greaterThan" dxfId="0">
      <formula>1-N20</formula>
    </cfRule>
  </conditionalFormatting>
  <conditionalFormatting sqref="O20">
    <cfRule type="cellIs" priority="45" operator="greaterThan" dxfId="0">
      <formula>1-O24</formula>
    </cfRule>
  </conditionalFormatting>
  <conditionalFormatting sqref="O24">
    <cfRule type="cellIs" priority="46" operator="greaterThan" dxfId="0">
      <formula>1-O20</formula>
    </cfRule>
  </conditionalFormatting>
  <conditionalFormatting sqref="P20">
    <cfRule type="cellIs" priority="47" operator="greaterThan" dxfId="0">
      <formula>1-P24</formula>
    </cfRule>
  </conditionalFormatting>
  <conditionalFormatting sqref="P24">
    <cfRule type="cellIs" priority="48" operator="greaterThan" dxfId="0">
      <formula>1-P20</formula>
    </cfRule>
  </conditionalFormatting>
  <conditionalFormatting sqref="Q20">
    <cfRule type="cellIs" priority="49" operator="greaterThan" dxfId="0">
      <formula>1-Q24</formula>
    </cfRule>
  </conditionalFormatting>
  <conditionalFormatting sqref="Q24">
    <cfRule type="cellIs" priority="50" operator="greaterThan" dxfId="0">
      <formula>1-Q20</formula>
    </cfRule>
  </conditionalFormatting>
  <conditionalFormatting sqref="R20">
    <cfRule type="cellIs" priority="51" operator="greaterThan" dxfId="0">
      <formula>1-R24</formula>
    </cfRule>
  </conditionalFormatting>
  <conditionalFormatting sqref="R24">
    <cfRule type="cellIs" priority="52" operator="greaterThan" dxfId="0">
      <formula>1-R20</formula>
    </cfRule>
  </conditionalFormatting>
  <conditionalFormatting sqref="S20">
    <cfRule type="cellIs" priority="53" operator="greaterThan" dxfId="0">
      <formula>1-S24</formula>
    </cfRule>
  </conditionalFormatting>
  <conditionalFormatting sqref="S24">
    <cfRule type="cellIs" priority="54" operator="greaterThan" dxfId="0">
      <formula>1-S20</formula>
    </cfRule>
  </conditionalFormatting>
  <conditionalFormatting sqref="T20">
    <cfRule type="cellIs" priority="55" operator="greaterThan" dxfId="0">
      <formula>1-T24</formula>
    </cfRule>
  </conditionalFormatting>
  <conditionalFormatting sqref="T24">
    <cfRule type="cellIs" priority="56" operator="greaterThan" dxfId="0">
      <formula>1-T20</formula>
    </cfRule>
  </conditionalFormatting>
  <conditionalFormatting sqref="U20">
    <cfRule type="cellIs" priority="57" operator="greaterThan" dxfId="0">
      <formula>1-U24</formula>
    </cfRule>
  </conditionalFormatting>
  <conditionalFormatting sqref="U24">
    <cfRule type="cellIs" priority="58" operator="greaterThan" dxfId="0">
      <formula>1-U20</formula>
    </cfRule>
  </conditionalFormatting>
  <conditionalFormatting sqref="V20">
    <cfRule type="cellIs" priority="59" operator="greaterThan" dxfId="0">
      <formula>1-V24</formula>
    </cfRule>
  </conditionalFormatting>
  <conditionalFormatting sqref="V24">
    <cfRule type="cellIs" priority="60" operator="greaterThan" dxfId="0">
      <formula>1-V20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2026-04-05T04:23:05Z</dcterms:created>
  <dcterms:modified xsi:type="dcterms:W3CDTF">2026-04-05T04:23:05Z</dcterms:modified>
</cp:coreProperties>
</file>